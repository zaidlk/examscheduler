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تعليمات" sheetId="1" state="visible" r:id="rId3"/>
    <sheet name="الإعدادات" sheetId="2" state="visible" r:id="rId4"/>
    <sheet name="الحصص" sheetId="3" state="visible" r:id="rId5"/>
    <sheet name="الأساتذة" sheetId="4" state="visible" r:id="rId6"/>
    <sheet name="المصفوف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FreeSans"/>
            <family val="2"/>
          </rPr>
          <t xml:space="preserve">أدخل العدد الإجمالي للقاعات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القاعات تُسمَّى تلقائياً: القاعة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FreeSans"/>
            <family val="2"/>
          </rPr>
          <t xml:space="preserve">، القاعة </t>
        </r>
        <r>
          <rPr>
            <sz val="10"/>
            <rFont val="Arial"/>
            <family val="2"/>
          </rPr>
          <t xml:space="preserve">2...</t>
        </r>
      </text>
    </comment>
    <comment ref="C4" authorId="0">
      <text>
        <r>
          <rPr>
            <sz val="10"/>
            <rFont val="FreeSans"/>
            <family val="2"/>
          </rPr>
          <t xml:space="preserve">عدد الحصص (بحد أقصى </t>
        </r>
        <r>
          <rPr>
            <sz val="10"/>
            <rFont val="Arial"/>
            <family val="2"/>
          </rPr>
          <t xml:space="preserve">20).
</t>
        </r>
        <r>
          <rPr>
            <sz val="10"/>
            <rFont val="FreeSans"/>
            <family val="2"/>
          </rPr>
          <t xml:space="preserve">صفوف الحصص تُولَّد تلقائياً في ورقة الحصص</t>
        </r>
        <r>
          <rPr>
            <sz val="10"/>
            <rFont val="Arial"/>
            <family val="2"/>
          </rPr>
          <t xml:space="preserve">.</t>
        </r>
      </text>
    </comment>
    <comment ref="C5" authorId="0">
      <text>
        <r>
          <rPr>
            <sz val="10"/>
            <rFont val="FreeSans"/>
            <family val="2"/>
          </rPr>
          <t xml:space="preserve">يُحسب تلقائياً من ورقة الأساتذة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لا تعدّل هذه الخلية</t>
        </r>
        <r>
          <rPr>
            <sz val="10"/>
            <rFont val="Arial"/>
            <family val="2"/>
          </rPr>
          <t xml:space="preserve">.</t>
        </r>
      </text>
    </comment>
    <comment ref="E2" authorId="0">
      <text>
        <r>
          <rPr>
            <sz val="10"/>
            <rFont val="FreeSans"/>
            <family val="2"/>
          </rPr>
          <t xml:space="preserve">يمكن تعديل أسماء المواد أو إضافة مواد جديدة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تُستخدم هذه القائمة كمصدر للقوائم المنسدلة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⚠️ تلقائي — لا تعدّل</t>
        </r>
      </text>
    </comment>
    <comment ref="D1" authorId="0">
      <text>
        <r>
          <rPr>
            <sz val="10"/>
            <rFont val="FreeSans"/>
            <family val="2"/>
          </rPr>
          <t xml:space="preserve">اختر المادة الأولى الممتحَنة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اتركها فارغة إذا لم تكن هناك مادة</t>
        </r>
        <r>
          <rPr>
            <sz val="10"/>
            <rFont val="Arial"/>
            <family val="2"/>
          </rPr>
          <t xml:space="preserve">)</t>
        </r>
      </text>
    </comment>
    <comment ref="E1" authorId="0">
      <text>
        <r>
          <rPr>
            <sz val="10"/>
            <rFont val="FreeSans"/>
            <family val="2"/>
          </rPr>
          <t xml:space="preserve">المادة الثانية الممتحَنة (اختياري)</t>
        </r>
      </text>
    </comment>
    <comment ref="F1" authorId="0">
      <text>
        <r>
          <rPr>
            <sz val="10"/>
            <rFont val="FreeSans"/>
            <family val="2"/>
          </rPr>
          <t xml:space="preserve">عدد القاعات العاملة خلال الحصة
</t>
        </r>
        <r>
          <rPr>
            <sz val="10"/>
            <rFont val="Arial"/>
            <family val="2"/>
          </rPr>
          <t xml:space="preserve">(≤ </t>
        </r>
        <r>
          <rPr>
            <sz val="10"/>
            <rFont val="FreeSans"/>
            <family val="2"/>
          </rPr>
          <t xml:space="preserve">عدد القاعات في الإعدادات، حد أقصى </t>
        </r>
        <r>
          <rPr>
            <sz val="10"/>
            <rFont val="Arial"/>
            <family val="2"/>
          </rPr>
          <t xml:space="preserve">30)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يُرقَّم تلقائياً بمجرد إدخال الاسم</t>
        </r>
      </text>
    </comment>
    <comment ref="B1" authorId="0">
      <text>
        <r>
          <rPr>
            <sz val="10"/>
            <rFont val="FreeSans"/>
            <family val="2"/>
          </rPr>
          <t xml:space="preserve">أدخل الاسم الكامل للأستاذ</t>
        </r>
      </text>
    </comment>
    <comment ref="C1" authorId="0">
      <text>
        <r>
          <rPr>
            <sz val="10"/>
            <rFont val="FreeSans"/>
            <family val="2"/>
          </rPr>
          <t xml:space="preserve">المادة التي يُدرّسها الأستاذ
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تُستخدم لتطبيق قيد المداوم</t>
        </r>
        <r>
          <rPr>
            <sz val="10"/>
            <rFont val="Arial"/>
            <family val="2"/>
          </rPr>
          <t xml:space="preserve">)</t>
        </r>
      </text>
    </comment>
    <comment ref="D1" authorId="0">
      <text>
        <r>
          <rPr>
            <sz val="10"/>
            <rFont val="FreeSans"/>
            <family val="2"/>
          </rPr>
          <t xml:space="preserve">رقم التأجير / المعرف الإداري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⚙️ هذه الورقة تُحسب تلقائياً
✅ </t>
        </r>
        <r>
          <rPr>
            <sz val="10"/>
            <rFont val="Arial"/>
            <family val="2"/>
          </rPr>
          <t xml:space="preserve">X = </t>
        </r>
        <r>
          <rPr>
            <sz val="10"/>
            <rFont val="FreeSans"/>
            <family val="2"/>
          </rPr>
          <t xml:space="preserve">القاعة نشطة في هذه الحصة
□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FreeSans"/>
            <family val="2"/>
          </rPr>
          <t xml:space="preserve">غير نشطة
النشاط يعتمد على عمود 'عدد القاعات العاملة' في ورقة الحصص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أول </t>
        </r>
        <r>
          <rPr>
            <sz val="10"/>
            <rFont val="Arial"/>
            <family val="2"/>
          </rPr>
          <t xml:space="preserve">N </t>
        </r>
        <r>
          <rPr>
            <sz val="10"/>
            <rFont val="FreeSans"/>
            <family val="2"/>
          </rPr>
          <t xml:space="preserve">قاعة تكون نشطة حيث </t>
        </r>
        <r>
          <rPr>
            <sz val="10"/>
            <rFont val="Arial"/>
            <family val="2"/>
          </rPr>
          <t xml:space="preserve">N </t>
        </r>
        <r>
          <rPr>
            <sz val="10"/>
            <rFont val="FreeSans"/>
            <family val="2"/>
          </rPr>
          <t xml:space="preserve">هو العدد المُدخَل</t>
        </r>
        <r>
          <rPr>
            <sz val="10"/>
            <rFont val="Arial"/>
            <family val="2"/>
          </rPr>
          <t xml:space="preserve">.
⚠️ </t>
        </r>
        <r>
          <rPr>
            <sz val="10"/>
            <rFont val="FreeSans"/>
            <family val="2"/>
          </rPr>
          <t xml:space="preserve">لا تعدّل هذه الورقة يدوياً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<sst xmlns="http://schemas.openxmlformats.org/spreadsheetml/2006/main" count="217" uniqueCount="151">
  <si>
    <t xml:space="preserve">🚀  دليل الاستخدام — جدول توزيع المراقبين</t>
  </si>
  <si>
    <t xml:space="preserve">الخطوة 1️⃣  ورقة الإعدادات</t>
  </si>
  <si>
    <t xml:space="preserve">• تحقق من عدد القاعات (C3) وعدد الحصص (C4) — عدّلهما حسب حاجتك</t>
  </si>
  <si>
    <t xml:space="preserve">• يمكن تعديل قائمة المواد في العمود E</t>
  </si>
  <si>
    <t xml:space="preserve">الخطوة 2️⃣  ورقة الأساتذة</t>
  </si>
  <si>
    <t xml:space="preserve">• البيانات جاهزة — عدّل الأسماء وأرقام التأجير والمواد حسب واقعك</t>
  </si>
  <si>
    <t xml:space="preserve">• أضف أساتذة جدداً في الصفوف الفارغة التالية أو احذف من لا تحتاجه</t>
  </si>
  <si>
    <t xml:space="preserve">• عمود المادة مرتبط بقيد المداوم (مراقبة إلزامية لمادته أثناء الامتحان)</t>
  </si>
  <si>
    <t xml:space="preserve">الخطوة 3️⃣  ورقة الحصص</t>
  </si>
  <si>
    <t xml:space="preserve">• البيانات جاهزة — عدّل التواريخ والتوقيتات والمواد وعدد القاعات</t>
  </si>
  <si>
    <t xml:space="preserve">• أسماء الحصص (حصة 1، حصة 2...) تُولَّد تلقائياً — لا تعدّلها</t>
  </si>
  <si>
    <t xml:space="preserve">• عمود 'عدد القاعات العاملة' يحدد أي القاعات نشطة (أول N قاعة)</t>
  </si>
  <si>
    <t xml:space="preserve">الخطوة 4️⃣  ورقة المصفوفة</t>
  </si>
  <si>
    <t xml:space="preserve">• تُحسب تلقائياً — تحقق منها للتأكد من صحة البيانات</t>
  </si>
  <si>
    <t xml:space="preserve">• لا تعدّلها يدوياً</t>
  </si>
  <si>
    <t xml:space="preserve">الخطوة 5️⃣  رفع الملف</t>
  </si>
  <si>
    <t xml:space="preserve">• احفظ الملف ثم ارفعه في تطبيق جدول المراقبة</t>
  </si>
  <si>
    <t xml:space="preserve">• انتظر ثوانٍ حتى يولّد النظام الجدول وتظهر أزرار التحميل</t>
  </si>
  <si>
    <t xml:space="preserve">🎨  مفتاح الألوان</t>
  </si>
  <si>
    <t xml:space="preserve">الخلايا الزرقاء الفاتحة = أدخل أو عدّل البيانات هنا</t>
  </si>
  <si>
    <t xml:space="preserve">الخلايا الخضراء = محسوبة تلقائياً (لا تعدّل)</t>
  </si>
  <si>
    <t xml:space="preserve">الخلايا الكريمية = تسميات ومعلومات</t>
  </si>
  <si>
    <t xml:space="preserve">⚙️  الإعدادات العامة</t>
  </si>
  <si>
    <t xml:space="preserve">📚  قائمة المواد</t>
  </si>
  <si>
    <t xml:space="preserve">المادة</t>
  </si>
  <si>
    <t xml:space="preserve">#</t>
  </si>
  <si>
    <t xml:space="preserve">عدد القاعات المتوفرة</t>
  </si>
  <si>
    <t xml:space="preserve">الاقتصاد</t>
  </si>
  <si>
    <t xml:space="preserve">عدد الحصص</t>
  </si>
  <si>
    <t xml:space="preserve">التاريخ والجغرافيا</t>
  </si>
  <si>
    <t xml:space="preserve">عدد الأساتذة (تلقائي)</t>
  </si>
  <si>
    <t xml:space="preserve">التربية الإسلامية</t>
  </si>
  <si>
    <t xml:space="preserve">⚠️  الخلايا الزرقاء: أدخل البيانات
الخلايا الخضراء: تلقائية — لا تعدّلها</t>
  </si>
  <si>
    <t xml:space="preserve">التربية البدنية</t>
  </si>
  <si>
    <t xml:space="preserve">الرياضيات</t>
  </si>
  <si>
    <t xml:space="preserve">الفلسفة</t>
  </si>
  <si>
    <t xml:space="preserve">الفيزياء والكيمياء</t>
  </si>
  <si>
    <t xml:space="preserve">اللغة الإنجليزية</t>
  </si>
  <si>
    <t xml:space="preserve">اللغة العربية</t>
  </si>
  <si>
    <t xml:space="preserve">اللغة الفرنسية</t>
  </si>
  <si>
    <t xml:space="preserve">علوم الحياة والأرض</t>
  </si>
  <si>
    <t xml:space="preserve">الترجمة</t>
  </si>
  <si>
    <t xml:space="preserve">المعلوميات</t>
  </si>
  <si>
    <t xml:space="preserve">مادة أخرى</t>
  </si>
  <si>
    <t xml:space="preserve">اسم الحصة</t>
  </si>
  <si>
    <t xml:space="preserve">التاريخ</t>
  </si>
  <si>
    <t xml:space="preserve">التوقيت</t>
  </si>
  <si>
    <t xml:space="preserve">المادة 1</t>
  </si>
  <si>
    <t xml:space="preserve">المادة 2</t>
  </si>
  <si>
    <t xml:space="preserve">عدد القاعات العاملة</t>
  </si>
  <si>
    <t xml:space="preserve">15/06/2026</t>
  </si>
  <si>
    <t xml:space="preserve">08:00 - 10:00</t>
  </si>
  <si>
    <t xml:space="preserve">10:30 - 12:30</t>
  </si>
  <si>
    <t xml:space="preserve">16/06/2026</t>
  </si>
  <si>
    <t xml:space="preserve">17/06/2026</t>
  </si>
  <si>
    <t xml:space="preserve">18/06/2026</t>
  </si>
  <si>
    <t xml:space="preserve">الاسم الكامل</t>
  </si>
  <si>
    <t xml:space="preserve">رقم التأجير</t>
  </si>
  <si>
    <t xml:space="preserve">محمد أمين</t>
  </si>
  <si>
    <t xml:space="preserve">1001</t>
  </si>
  <si>
    <t xml:space="preserve">فاطمة الزهراء</t>
  </si>
  <si>
    <t xml:space="preserve">1002</t>
  </si>
  <si>
    <t xml:space="preserve">يوسف بنعلي</t>
  </si>
  <si>
    <t xml:space="preserve">1003</t>
  </si>
  <si>
    <t xml:space="preserve">سلمى الإدريسي</t>
  </si>
  <si>
    <t xml:space="preserve">1004</t>
  </si>
  <si>
    <t xml:space="preserve">كريم الناصري</t>
  </si>
  <si>
    <t xml:space="preserve">1005</t>
  </si>
  <si>
    <t xml:space="preserve">نجوى الفارسي</t>
  </si>
  <si>
    <t xml:space="preserve">1006</t>
  </si>
  <si>
    <t xml:space="preserve">رضا العلوي</t>
  </si>
  <si>
    <t xml:space="preserve">1007</t>
  </si>
  <si>
    <t xml:space="preserve">حنان السلاوي</t>
  </si>
  <si>
    <t xml:space="preserve">1008</t>
  </si>
  <si>
    <t xml:space="preserve">بشير الراشدي</t>
  </si>
  <si>
    <t xml:space="preserve">1009</t>
  </si>
  <si>
    <t xml:space="preserve">دنيا الحسيني</t>
  </si>
  <si>
    <t xml:space="preserve">1010</t>
  </si>
  <si>
    <t xml:space="preserve">لينا الحمداني</t>
  </si>
  <si>
    <t xml:space="preserve">1011</t>
  </si>
  <si>
    <t xml:space="preserve">وليد الزياد</t>
  </si>
  <si>
    <t xml:space="preserve">1012</t>
  </si>
  <si>
    <t xml:space="preserve">سناء قادري</t>
  </si>
  <si>
    <t xml:space="preserve">1013</t>
  </si>
  <si>
    <t xml:space="preserve">طارق بوعزة</t>
  </si>
  <si>
    <t xml:space="preserve">1014</t>
  </si>
  <si>
    <t xml:space="preserve">نعيمة الجابري</t>
  </si>
  <si>
    <t xml:space="preserve">1015</t>
  </si>
  <si>
    <t xml:space="preserve">هشام العراقي</t>
  </si>
  <si>
    <t xml:space="preserve">1016</t>
  </si>
  <si>
    <t xml:space="preserve">زينب الطاهر</t>
  </si>
  <si>
    <t xml:space="preserve">1017</t>
  </si>
  <si>
    <t xml:space="preserve">أمين الشيخ</t>
  </si>
  <si>
    <t xml:space="preserve">1018</t>
  </si>
  <si>
    <t xml:space="preserve">رشيد أوزين</t>
  </si>
  <si>
    <t xml:space="preserve">1019</t>
  </si>
  <si>
    <t xml:space="preserve">هنا الموساوي</t>
  </si>
  <si>
    <t xml:space="preserve">1020</t>
  </si>
  <si>
    <t xml:space="preserve">نجاة حجازي</t>
  </si>
  <si>
    <t xml:space="preserve">1021</t>
  </si>
  <si>
    <t xml:space="preserve">يمينة لقربي</t>
  </si>
  <si>
    <t xml:space="preserve">1022</t>
  </si>
  <si>
    <t xml:space="preserve">عبد الكريم نور</t>
  </si>
  <si>
    <t xml:space="preserve">1023</t>
  </si>
  <si>
    <t xml:space="preserve">سيلين بريك</t>
  </si>
  <si>
    <t xml:space="preserve">1024</t>
  </si>
  <si>
    <t xml:space="preserve">جمال الطيب</t>
  </si>
  <si>
    <t xml:space="preserve">1025</t>
  </si>
  <si>
    <t xml:space="preserve">ليلى بنحدو</t>
  </si>
  <si>
    <t xml:space="preserve">1026</t>
  </si>
  <si>
    <t xml:space="preserve">منى بنمسعود</t>
  </si>
  <si>
    <t xml:space="preserve">1027</t>
  </si>
  <si>
    <t xml:space="preserve">عصام الشريف</t>
  </si>
  <si>
    <t xml:space="preserve">1028</t>
  </si>
  <si>
    <t xml:space="preserve">بتول القادري</t>
  </si>
  <si>
    <t xml:space="preserve">1029</t>
  </si>
  <si>
    <t xml:space="preserve">وسام قرشي</t>
  </si>
  <si>
    <t xml:space="preserve">1030</t>
  </si>
  <si>
    <t xml:space="preserve">إيمان تيزي</t>
  </si>
  <si>
    <t xml:space="preserve">1031</t>
  </si>
  <si>
    <t xml:space="preserve">أنس بوخارة</t>
  </si>
  <si>
    <t xml:space="preserve">1032</t>
  </si>
  <si>
    <t xml:space="preserve">سارة الزياني</t>
  </si>
  <si>
    <t xml:space="preserve">1033</t>
  </si>
  <si>
    <t xml:space="preserve">فؤاد بلحسن</t>
  </si>
  <si>
    <t xml:space="preserve">1034</t>
  </si>
  <si>
    <t xml:space="preserve">رانيا الحموي</t>
  </si>
  <si>
    <t xml:space="preserve">1035</t>
  </si>
  <si>
    <t xml:space="preserve">خالد السعيد</t>
  </si>
  <si>
    <t xml:space="preserve">1036</t>
  </si>
  <si>
    <t xml:space="preserve">آية الله</t>
  </si>
  <si>
    <t xml:space="preserve">1037</t>
  </si>
  <si>
    <t xml:space="preserve">ريم الأنصاري</t>
  </si>
  <si>
    <t xml:space="preserve">1038</t>
  </si>
  <si>
    <t xml:space="preserve">سعاد بنسالم</t>
  </si>
  <si>
    <t xml:space="preserve">1039</t>
  </si>
  <si>
    <t xml:space="preserve">مريم حداد</t>
  </si>
  <si>
    <t xml:space="preserve">1040</t>
  </si>
  <si>
    <t xml:space="preserve">نور الهدى</t>
  </si>
  <si>
    <t xml:space="preserve">1041</t>
  </si>
  <si>
    <t xml:space="preserve">عمر بنعلي</t>
  </si>
  <si>
    <t xml:space="preserve">1042</t>
  </si>
  <si>
    <t xml:space="preserve">ياسر الغزالي</t>
  </si>
  <si>
    <t xml:space="preserve">1043</t>
  </si>
  <si>
    <t xml:space="preserve">آسية المنصور</t>
  </si>
  <si>
    <t xml:space="preserve">1044</t>
  </si>
  <si>
    <t xml:space="preserve">حميد الطاهر</t>
  </si>
  <si>
    <t xml:space="preserve">1045</t>
  </si>
  <si>
    <t xml:space="preserve">سامية بوشامة</t>
  </si>
  <si>
    <t xml:space="preserve">1046</t>
  </si>
  <si>
    <t xml:space="preserve">القاعة / الحصة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</si>
</sst>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66534"/>
      <name val="Arial"/>
      <family val="0"/>
      <charset val="1"/>
    </font>
    <font>
      <b val="true"/>
      <sz val="9"/>
      <color rgb="FF92400E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0"/>
      <color rgb="FF1D4ED8"/>
      <name val="Arial"/>
      <family val="0"/>
      <charset val="1"/>
    </font>
    <font>
      <b val="true"/>
      <sz val="10"/>
      <color rgb="FF0F1E3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E3C"/>
        <bgColor rgb="FF333333"/>
      </patternFill>
    </fill>
    <fill>
      <patternFill patternType="solid">
        <fgColor rgb="FFC9963A"/>
        <bgColor rgb="FFFF8080"/>
      </patternFill>
    </fill>
    <fill>
      <patternFill patternType="solid">
        <fgColor rgb="FFFEF9EE"/>
        <bgColor rgb="FFF8FAFC"/>
      </patternFill>
    </fill>
    <fill>
      <patternFill patternType="solid">
        <fgColor rgb="FFEFF6FF"/>
        <bgColor rgb="FFF8F9FF"/>
      </patternFill>
    </fill>
    <fill>
      <patternFill patternType="solid">
        <fgColor rgb="FFDCFCE7"/>
        <bgColor rgb="FFF0FDF4"/>
      </patternFill>
    </fill>
    <fill>
      <patternFill patternType="solid">
        <fgColor rgb="FFF0FDF4"/>
        <bgColor rgb="FFF8FAFC"/>
      </patternFill>
    </fill>
    <fill>
      <patternFill patternType="solid">
        <fgColor rgb="FFFFF3CD"/>
        <bgColor rgb="FFFEF9EE"/>
      </patternFill>
    </fill>
    <fill>
      <patternFill patternType="solid">
        <fgColor rgb="FFF8F9FF"/>
        <bgColor rgb="FFF8FAFC"/>
      </patternFill>
    </fill>
    <fill>
      <patternFill patternType="solid">
        <fgColor rgb="FFF8FAFC"/>
        <bgColor rgb="FFF8F9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CFCE7"/>
      <rgbColor rgb="FF660066"/>
      <rgbColor rgb="FFFF8080"/>
      <rgbColor rgb="FF1D4ED8"/>
      <rgbColor rgb="FFF8F9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FF6FF"/>
      <rgbColor rgb="FFFEF9EE"/>
      <rgbColor rgb="FF99CCFF"/>
      <rgbColor rgb="FFFF99CC"/>
      <rgbColor rgb="FFCC99FF"/>
      <rgbColor rgb="FFF8FAFC"/>
      <rgbColor rgb="FF3366FF"/>
      <rgbColor rgb="FF33CCCC"/>
      <rgbColor rgb="FF99CC00"/>
      <rgbColor rgb="FFFFCC00"/>
      <rgbColor rgb="FFC9963A"/>
      <rgbColor rgb="FFFF6600"/>
      <rgbColor rgb="FF666699"/>
      <rgbColor rgb="FF969696"/>
      <rgbColor rgb="FF0F1E3C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5"/>
    <col collapsed="false" customWidth="true" hidden="false" outlineLevel="0" max="3" min="3" style="0" width="3"/>
  </cols>
  <sheetData>
    <row r="1" customFormat="false" ht="37.5" hidden="false" customHeight="true" outlineLevel="0" collapsed="false">
      <c r="B1" s="1" t="s">
        <v>0</v>
      </c>
    </row>
    <row r="2" customFormat="false" ht="9.75" hidden="false" customHeight="true" outlineLevel="0" collapsed="false"/>
    <row r="3" customFormat="false" ht="27.75" hidden="false" customHeight="true" outlineLevel="0" collapsed="false">
      <c r="B3" s="2" t="s">
        <v>1</v>
      </c>
    </row>
    <row r="4" customFormat="false" ht="21.75" hidden="false" customHeight="true" outlineLevel="0" collapsed="false">
      <c r="B4" s="3" t="s">
        <v>2</v>
      </c>
    </row>
    <row r="5" customFormat="false" ht="21.75" hidden="false" customHeight="true" outlineLevel="0" collapsed="false">
      <c r="B5" s="3" t="s">
        <v>3</v>
      </c>
    </row>
    <row r="6" customFormat="false" ht="7.5" hidden="false" customHeight="true" outlineLevel="0" collapsed="false"/>
    <row r="7" customFormat="false" ht="27.75" hidden="false" customHeight="true" outlineLevel="0" collapsed="false">
      <c r="B7" s="2" t="s">
        <v>4</v>
      </c>
    </row>
    <row r="8" customFormat="false" ht="21.75" hidden="false" customHeight="true" outlineLevel="0" collapsed="false">
      <c r="B8" s="3" t="s">
        <v>5</v>
      </c>
    </row>
    <row r="9" customFormat="false" ht="21.75" hidden="false" customHeight="true" outlineLevel="0" collapsed="false">
      <c r="B9" s="3" t="s">
        <v>6</v>
      </c>
    </row>
    <row r="10" customFormat="false" ht="21.75" hidden="false" customHeight="true" outlineLevel="0" collapsed="false">
      <c r="B10" s="3" t="s">
        <v>7</v>
      </c>
    </row>
    <row r="11" customFormat="false" ht="7.5" hidden="false" customHeight="true" outlineLevel="0" collapsed="false"/>
    <row r="12" customFormat="false" ht="27.75" hidden="false" customHeight="true" outlineLevel="0" collapsed="false">
      <c r="B12" s="2" t="s">
        <v>8</v>
      </c>
    </row>
    <row r="13" customFormat="false" ht="21.75" hidden="false" customHeight="true" outlineLevel="0" collapsed="false">
      <c r="B13" s="3" t="s">
        <v>9</v>
      </c>
    </row>
    <row r="14" customFormat="false" ht="21.75" hidden="false" customHeight="true" outlineLevel="0" collapsed="false">
      <c r="B14" s="3" t="s">
        <v>10</v>
      </c>
    </row>
    <row r="15" customFormat="false" ht="21.75" hidden="false" customHeight="true" outlineLevel="0" collapsed="false">
      <c r="B15" s="3" t="s">
        <v>11</v>
      </c>
    </row>
    <row r="16" customFormat="false" ht="7.5" hidden="false" customHeight="true" outlineLevel="0" collapsed="false"/>
    <row r="17" customFormat="false" ht="27.75" hidden="false" customHeight="true" outlineLevel="0" collapsed="false">
      <c r="B17" s="2" t="s">
        <v>12</v>
      </c>
    </row>
    <row r="18" customFormat="false" ht="21.75" hidden="false" customHeight="true" outlineLevel="0" collapsed="false">
      <c r="B18" s="3" t="s">
        <v>13</v>
      </c>
    </row>
    <row r="19" customFormat="false" ht="21.75" hidden="false" customHeight="true" outlineLevel="0" collapsed="false">
      <c r="B19" s="3" t="s">
        <v>14</v>
      </c>
    </row>
    <row r="20" customFormat="false" ht="7.5" hidden="false" customHeight="true" outlineLevel="0" collapsed="false"/>
    <row r="21" customFormat="false" ht="27.75" hidden="false" customHeight="true" outlineLevel="0" collapsed="false">
      <c r="B21" s="2" t="s">
        <v>15</v>
      </c>
    </row>
    <row r="22" customFormat="false" ht="21.75" hidden="false" customHeight="true" outlineLevel="0" collapsed="false">
      <c r="B22" s="3" t="s">
        <v>16</v>
      </c>
    </row>
    <row r="23" customFormat="false" ht="21.75" hidden="false" customHeight="true" outlineLevel="0" collapsed="false">
      <c r="B23" s="3" t="s">
        <v>17</v>
      </c>
    </row>
    <row r="24" customFormat="false" ht="7.5" hidden="false" customHeight="true" outlineLevel="0" collapsed="false"/>
    <row r="25" customFormat="false" ht="27.75" hidden="false" customHeight="true" outlineLevel="0" collapsed="false">
      <c r="B25" s="4" t="s">
        <v>18</v>
      </c>
    </row>
    <row r="26" customFormat="false" ht="21.75" hidden="false" customHeight="true" outlineLevel="0" collapsed="false">
      <c r="B26" s="5" t="s">
        <v>19</v>
      </c>
    </row>
    <row r="27" customFormat="false" ht="21.75" hidden="false" customHeight="true" outlineLevel="0" collapsed="false">
      <c r="B27" s="6" t="s">
        <v>20</v>
      </c>
    </row>
    <row r="28" customFormat="false" ht="21.75" hidden="false" customHeight="true" outlineLevel="0" collapsed="false">
      <c r="B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30"/>
    <col collapsed="false" customWidth="true" hidden="false" outlineLevel="0" max="6" min="6" style="0" width="8"/>
  </cols>
  <sheetData>
    <row r="1" customFormat="false" ht="37.5" hidden="false" customHeight="true" outlineLevel="0" collapsed="false">
      <c r="B1" s="7" t="s">
        <v>22</v>
      </c>
      <c r="C1" s="7"/>
      <c r="E1" s="8" t="s">
        <v>23</v>
      </c>
      <c r="F1" s="8"/>
    </row>
    <row r="2" customFormat="false" ht="15" hidden="false" customHeight="false" outlineLevel="0" collapsed="false">
      <c r="E2" s="9" t="s">
        <v>24</v>
      </c>
      <c r="F2" s="9" t="s">
        <v>25</v>
      </c>
    </row>
    <row r="3" customFormat="false" ht="21.75" hidden="false" customHeight="true" outlineLevel="0" collapsed="false">
      <c r="B3" s="10" t="s">
        <v>26</v>
      </c>
      <c r="C3" s="11" t="n">
        <v>14</v>
      </c>
      <c r="E3" s="12" t="s">
        <v>27</v>
      </c>
      <c r="F3" s="13" t="n">
        <v>1</v>
      </c>
    </row>
    <row r="4" customFormat="false" ht="21.75" hidden="false" customHeight="true" outlineLevel="0" collapsed="false">
      <c r="B4" s="10" t="s">
        <v>28</v>
      </c>
      <c r="C4" s="11" t="n">
        <v>8</v>
      </c>
      <c r="E4" s="12" t="s">
        <v>29</v>
      </c>
      <c r="F4" s="13" t="n">
        <v>2</v>
      </c>
    </row>
    <row r="5" customFormat="false" ht="21.75" hidden="false" customHeight="true" outlineLevel="0" collapsed="false">
      <c r="B5" s="10" t="s">
        <v>30</v>
      </c>
      <c r="C5" s="14" t="n">
        <f aca="false">COUNTA(الأساتذة!B2:B201)</f>
        <v>46</v>
      </c>
      <c r="E5" s="12" t="s">
        <v>31</v>
      </c>
      <c r="F5" s="13" t="n">
        <v>3</v>
      </c>
    </row>
    <row r="6" customFormat="false" ht="21.75" hidden="false" customHeight="true" outlineLevel="0" collapsed="false">
      <c r="B6" s="15" t="s">
        <v>32</v>
      </c>
      <c r="C6" s="15"/>
      <c r="E6" s="12" t="s">
        <v>33</v>
      </c>
      <c r="F6" s="13" t="n">
        <v>4</v>
      </c>
    </row>
    <row r="7" customFormat="false" ht="21.75" hidden="false" customHeight="true" outlineLevel="0" collapsed="false">
      <c r="B7" s="15"/>
      <c r="C7" s="15"/>
      <c r="E7" s="12" t="s">
        <v>34</v>
      </c>
      <c r="F7" s="13" t="n">
        <v>5</v>
      </c>
    </row>
    <row r="8" customFormat="false" ht="21.75" hidden="false" customHeight="true" outlineLevel="0" collapsed="false">
      <c r="E8" s="12" t="s">
        <v>35</v>
      </c>
      <c r="F8" s="13" t="n">
        <v>6</v>
      </c>
    </row>
    <row r="9" customFormat="false" ht="21.75" hidden="false" customHeight="true" outlineLevel="0" collapsed="false">
      <c r="E9" s="12" t="s">
        <v>36</v>
      </c>
      <c r="F9" s="13" t="n">
        <v>7</v>
      </c>
    </row>
    <row r="10" customFormat="false" ht="21.75" hidden="false" customHeight="true" outlineLevel="0" collapsed="false">
      <c r="E10" s="12" t="s">
        <v>37</v>
      </c>
      <c r="F10" s="13" t="n">
        <v>8</v>
      </c>
    </row>
    <row r="11" customFormat="false" ht="21.75" hidden="false" customHeight="true" outlineLevel="0" collapsed="false">
      <c r="E11" s="12" t="s">
        <v>38</v>
      </c>
      <c r="F11" s="13" t="n">
        <v>9</v>
      </c>
    </row>
    <row r="12" customFormat="false" ht="21.75" hidden="false" customHeight="true" outlineLevel="0" collapsed="false">
      <c r="E12" s="12" t="s">
        <v>39</v>
      </c>
      <c r="F12" s="13" t="n">
        <v>10</v>
      </c>
    </row>
    <row r="13" customFormat="false" ht="21.75" hidden="false" customHeight="true" outlineLevel="0" collapsed="false">
      <c r="E13" s="12" t="s">
        <v>40</v>
      </c>
      <c r="F13" s="13" t="n">
        <v>11</v>
      </c>
    </row>
    <row r="14" customFormat="false" ht="21.75" hidden="false" customHeight="true" outlineLevel="0" collapsed="false">
      <c r="E14" s="12" t="s">
        <v>41</v>
      </c>
      <c r="F14" s="13" t="n">
        <v>12</v>
      </c>
    </row>
    <row r="15" customFormat="false" ht="21.75" hidden="false" customHeight="true" outlineLevel="0" collapsed="false">
      <c r="E15" s="12" t="s">
        <v>42</v>
      </c>
      <c r="F15" s="13" t="n">
        <v>13</v>
      </c>
    </row>
    <row r="16" customFormat="false" ht="21.75" hidden="false" customHeight="true" outlineLevel="0" collapsed="false">
      <c r="E16" s="12" t="s">
        <v>43</v>
      </c>
      <c r="F16" s="13" t="n">
        <v>14</v>
      </c>
    </row>
  </sheetData>
  <mergeCells count="3">
    <mergeCell ref="B1:C1"/>
    <mergeCell ref="E1:F1"/>
    <mergeCell ref="B6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24"/>
    <col collapsed="false" customWidth="true" hidden="false" outlineLevel="0" max="6" min="6" style="0" width="14"/>
  </cols>
  <sheetData>
    <row r="1" customFormat="false" ht="30" hidden="false" customHeight="true" outlineLevel="0" collapsed="false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</row>
    <row r="2" customFormat="false" ht="21.75" hidden="false" customHeight="true" outlineLevel="0" collapsed="false">
      <c r="A2" s="14" t="str">
        <f aca="false">IF(ROW()-1&lt;=الإعدادات!$C$4,"حصة "&amp;TEXT(ROW()-1,"0"),"")</f>
        <v>حصة 1</v>
      </c>
      <c r="B2" s="11" t="s">
        <v>50</v>
      </c>
      <c r="C2" s="11" t="s">
        <v>51</v>
      </c>
      <c r="D2" s="5" t="s">
        <v>34</v>
      </c>
      <c r="E2" s="5" t="s">
        <v>36</v>
      </c>
      <c r="F2" s="11" t="n">
        <v>9</v>
      </c>
    </row>
    <row r="3" customFormat="false" ht="21.75" hidden="false" customHeight="true" outlineLevel="0" collapsed="false">
      <c r="A3" s="14" t="str">
        <f aca="false">IF(ROW()-1&lt;=الإعدادات!$C$4,"حصة "&amp;TEXT(ROW()-1,"0"),"")</f>
        <v>حصة 2</v>
      </c>
      <c r="B3" s="11" t="s">
        <v>50</v>
      </c>
      <c r="C3" s="11" t="s">
        <v>52</v>
      </c>
      <c r="D3" s="5" t="s">
        <v>38</v>
      </c>
      <c r="E3" s="5" t="s">
        <v>39</v>
      </c>
      <c r="F3" s="11" t="n">
        <v>12</v>
      </c>
    </row>
    <row r="4" customFormat="false" ht="21.75" hidden="false" customHeight="true" outlineLevel="0" collapsed="false">
      <c r="A4" s="14" t="str">
        <f aca="false">IF(ROW()-1&lt;=الإعدادات!$C$4,"حصة "&amp;TEXT(ROW()-1,"0"),"")</f>
        <v>حصة 3</v>
      </c>
      <c r="B4" s="11" t="s">
        <v>53</v>
      </c>
      <c r="C4" s="11" t="s">
        <v>51</v>
      </c>
      <c r="D4" s="5" t="s">
        <v>29</v>
      </c>
      <c r="E4" s="5" t="s">
        <v>27</v>
      </c>
      <c r="F4" s="11" t="n">
        <v>9</v>
      </c>
    </row>
    <row r="5" customFormat="false" ht="21.75" hidden="false" customHeight="true" outlineLevel="0" collapsed="false">
      <c r="A5" s="14" t="str">
        <f aca="false">IF(ROW()-1&lt;=الإعدادات!$C$4,"حصة "&amp;TEXT(ROW()-1,"0"),"")</f>
        <v>حصة 4</v>
      </c>
      <c r="B5" s="11" t="s">
        <v>53</v>
      </c>
      <c r="C5" s="11" t="s">
        <v>52</v>
      </c>
      <c r="D5" s="5" t="s">
        <v>37</v>
      </c>
      <c r="E5" s="5" t="s">
        <v>41</v>
      </c>
      <c r="F5" s="11" t="n">
        <v>14</v>
      </c>
    </row>
    <row r="6" customFormat="false" ht="21.75" hidden="false" customHeight="true" outlineLevel="0" collapsed="false">
      <c r="A6" s="14" t="str">
        <f aca="false">IF(ROW()-1&lt;=الإعدادات!$C$4,"حصة "&amp;TEXT(ROW()-1,"0"),"")</f>
        <v>حصة 5</v>
      </c>
      <c r="B6" s="11" t="s">
        <v>54</v>
      </c>
      <c r="C6" s="11" t="s">
        <v>51</v>
      </c>
      <c r="D6" s="5"/>
      <c r="E6" s="5"/>
      <c r="F6" s="11" t="n">
        <v>14</v>
      </c>
    </row>
    <row r="7" customFormat="false" ht="21.75" hidden="false" customHeight="true" outlineLevel="0" collapsed="false">
      <c r="A7" s="14" t="str">
        <f aca="false">IF(ROW()-1&lt;=الإعدادات!$C$4,"حصة "&amp;TEXT(ROW()-1,"0"),"")</f>
        <v>حصة 6</v>
      </c>
      <c r="B7" s="11" t="s">
        <v>54</v>
      </c>
      <c r="C7" s="11" t="s">
        <v>52</v>
      </c>
      <c r="D7" s="5"/>
      <c r="E7" s="5"/>
      <c r="F7" s="11" t="n">
        <v>14</v>
      </c>
    </row>
    <row r="8" customFormat="false" ht="21.75" hidden="false" customHeight="true" outlineLevel="0" collapsed="false">
      <c r="A8" s="14" t="str">
        <f aca="false">IF(ROW()-1&lt;=الإعدادات!$C$4,"حصة "&amp;TEXT(ROW()-1,"0"),"")</f>
        <v>حصة 7</v>
      </c>
      <c r="B8" s="11" t="s">
        <v>55</v>
      </c>
      <c r="C8" s="11" t="s">
        <v>51</v>
      </c>
      <c r="D8" s="5"/>
      <c r="E8" s="5"/>
      <c r="F8" s="11" t="n">
        <v>14</v>
      </c>
    </row>
    <row r="9" customFormat="false" ht="21.75" hidden="false" customHeight="true" outlineLevel="0" collapsed="false">
      <c r="A9" s="14" t="str">
        <f aca="false">IF(ROW()-1&lt;=الإعدادات!$C$4,"حصة "&amp;TEXT(ROW()-1,"0"),"")</f>
        <v>حصة 8</v>
      </c>
      <c r="B9" s="11" t="s">
        <v>55</v>
      </c>
      <c r="C9" s="11" t="s">
        <v>52</v>
      </c>
      <c r="D9" s="5"/>
      <c r="E9" s="5"/>
      <c r="F9" s="11" t="n">
        <v>9</v>
      </c>
    </row>
    <row r="10" customFormat="false" ht="21.75" hidden="false" customHeight="true" outlineLevel="0" collapsed="false">
      <c r="A10" s="14" t="str">
        <f aca="false">IF(ROW()-1&lt;=الإعدادات!$C$4,"حصة "&amp;TEXT(ROW()-1,"0"),"")</f>
        <v/>
      </c>
      <c r="B10" s="16"/>
      <c r="C10" s="16"/>
      <c r="D10" s="16"/>
      <c r="E10" s="16"/>
      <c r="F10" s="16"/>
    </row>
    <row r="11" customFormat="false" ht="21.75" hidden="false" customHeight="true" outlineLevel="0" collapsed="false">
      <c r="A11" s="14" t="str">
        <f aca="false">IF(ROW()-1&lt;=الإعدادات!$C$4,"حصة "&amp;TEXT(ROW()-1,"0"),"")</f>
        <v/>
      </c>
      <c r="B11" s="17"/>
      <c r="C11" s="17"/>
      <c r="D11" s="17"/>
      <c r="E11" s="17"/>
      <c r="F11" s="17"/>
    </row>
    <row r="12" customFormat="false" ht="21.75" hidden="false" customHeight="true" outlineLevel="0" collapsed="false">
      <c r="A12" s="14" t="str">
        <f aca="false">IF(ROW()-1&lt;=الإعدادات!$C$4,"حصة "&amp;TEXT(ROW()-1,"0"),"")</f>
        <v/>
      </c>
      <c r="B12" s="16"/>
      <c r="C12" s="16"/>
      <c r="D12" s="16"/>
      <c r="E12" s="16"/>
      <c r="F12" s="16"/>
    </row>
    <row r="13" customFormat="false" ht="21.75" hidden="false" customHeight="true" outlineLevel="0" collapsed="false">
      <c r="A13" s="14" t="str">
        <f aca="false">IF(ROW()-1&lt;=الإعدادات!$C$4,"حصة "&amp;TEXT(ROW()-1,"0"),"")</f>
        <v/>
      </c>
      <c r="B13" s="17"/>
      <c r="C13" s="17"/>
      <c r="D13" s="17"/>
      <c r="E13" s="17"/>
      <c r="F13" s="17"/>
    </row>
    <row r="14" customFormat="false" ht="21.75" hidden="false" customHeight="true" outlineLevel="0" collapsed="false">
      <c r="A14" s="14" t="str">
        <f aca="false">IF(ROW()-1&lt;=الإعدادات!$C$4,"حصة "&amp;TEXT(ROW()-1,"0"),"")</f>
        <v/>
      </c>
      <c r="B14" s="16"/>
      <c r="C14" s="16"/>
      <c r="D14" s="16"/>
      <c r="E14" s="16"/>
      <c r="F14" s="16"/>
    </row>
    <row r="15" customFormat="false" ht="21.75" hidden="false" customHeight="true" outlineLevel="0" collapsed="false">
      <c r="A15" s="14" t="str">
        <f aca="false">IF(ROW()-1&lt;=الإعدادات!$C$4,"حصة "&amp;TEXT(ROW()-1,"0"),"")</f>
        <v/>
      </c>
      <c r="B15" s="17"/>
      <c r="C15" s="17"/>
      <c r="D15" s="17"/>
      <c r="E15" s="17"/>
      <c r="F15" s="17"/>
    </row>
    <row r="16" customFormat="false" ht="21.75" hidden="false" customHeight="true" outlineLevel="0" collapsed="false">
      <c r="A16" s="14" t="str">
        <f aca="false">IF(ROW()-1&lt;=الإعدادات!$C$4,"حصة "&amp;TEXT(ROW()-1,"0"),"")</f>
        <v/>
      </c>
      <c r="B16" s="16"/>
      <c r="C16" s="16"/>
      <c r="D16" s="16"/>
      <c r="E16" s="16"/>
      <c r="F16" s="16"/>
    </row>
    <row r="17" customFormat="false" ht="21.75" hidden="false" customHeight="true" outlineLevel="0" collapsed="false">
      <c r="A17" s="14" t="str">
        <f aca="false">IF(ROW()-1&lt;=الإعدادات!$C$4,"حصة "&amp;TEXT(ROW()-1,"0"),"")</f>
        <v/>
      </c>
      <c r="B17" s="17"/>
      <c r="C17" s="17"/>
      <c r="D17" s="17"/>
      <c r="E17" s="17"/>
      <c r="F17" s="17"/>
    </row>
    <row r="18" customFormat="false" ht="21.75" hidden="false" customHeight="true" outlineLevel="0" collapsed="false">
      <c r="A18" s="14" t="str">
        <f aca="false">IF(ROW()-1&lt;=الإعدادات!$C$4,"حصة "&amp;TEXT(ROW()-1,"0"),"")</f>
        <v/>
      </c>
      <c r="B18" s="16"/>
      <c r="C18" s="16"/>
      <c r="D18" s="16"/>
      <c r="E18" s="16"/>
      <c r="F18" s="16"/>
    </row>
    <row r="19" customFormat="false" ht="21.75" hidden="false" customHeight="true" outlineLevel="0" collapsed="false">
      <c r="A19" s="14" t="str">
        <f aca="false">IF(ROW()-1&lt;=الإعدادات!$C$4,"حصة "&amp;TEXT(ROW()-1,"0"),"")</f>
        <v/>
      </c>
      <c r="B19" s="17"/>
      <c r="C19" s="17"/>
      <c r="D19" s="17"/>
      <c r="E19" s="17"/>
      <c r="F19" s="17"/>
    </row>
    <row r="20" customFormat="false" ht="21.75" hidden="false" customHeight="true" outlineLevel="0" collapsed="false">
      <c r="A20" s="14" t="str">
        <f aca="false">IF(ROW()-1&lt;=الإعدادات!$C$4,"حصة "&amp;TEXT(ROW()-1,"0"),"")</f>
        <v/>
      </c>
      <c r="B20" s="16"/>
      <c r="C20" s="16"/>
      <c r="D20" s="16"/>
      <c r="E20" s="16"/>
      <c r="F20" s="16"/>
    </row>
    <row r="21" customFormat="false" ht="21.75" hidden="false" customHeight="true" outlineLevel="0" collapsed="false">
      <c r="A21" s="14" t="str">
        <f aca="false">IF(ROW()-1&lt;=الإعدادات!$C$4,"حصة "&amp;TEXT(ROW()-1,"0"),"")</f>
        <v/>
      </c>
      <c r="B21" s="17"/>
      <c r="C21" s="17"/>
      <c r="D21" s="17"/>
      <c r="E21" s="17"/>
      <c r="F21" s="17"/>
    </row>
  </sheetData>
  <dataValidations count="1">
    <dataValidation allowBlank="true" errorStyle="stop" operator="between" showDropDown="false" showErrorMessage="false" showInputMessage="false" sqref="D2:E21" type="list">
      <formula1>الإعدادات!$E$3:$E$16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</cols>
  <sheetData>
    <row r="1" customFormat="false" ht="30" hidden="false" customHeight="true" outlineLevel="0" collapsed="false">
      <c r="A1" s="9" t="s">
        <v>25</v>
      </c>
      <c r="B1" s="9" t="s">
        <v>56</v>
      </c>
      <c r="C1" s="9" t="s">
        <v>24</v>
      </c>
      <c r="D1" s="9" t="s">
        <v>57</v>
      </c>
    </row>
    <row r="2" customFormat="false" ht="19.5" hidden="false" customHeight="true" outlineLevel="0" collapsed="false">
      <c r="A2" s="14" t="n">
        <f aca="false">IF(B2&lt;&gt;"",ROW()-1,"")</f>
        <v>1</v>
      </c>
      <c r="B2" s="5" t="s">
        <v>58</v>
      </c>
      <c r="C2" s="5" t="s">
        <v>34</v>
      </c>
      <c r="D2" s="11" t="s">
        <v>59</v>
      </c>
    </row>
    <row r="3" customFormat="false" ht="19.5" hidden="false" customHeight="true" outlineLevel="0" collapsed="false">
      <c r="A3" s="14" t="n">
        <f aca="false">IF(B3&lt;&gt;"",ROW()-1,"")</f>
        <v>2</v>
      </c>
      <c r="B3" s="5" t="s">
        <v>60</v>
      </c>
      <c r="C3" s="5" t="s">
        <v>34</v>
      </c>
      <c r="D3" s="11" t="s">
        <v>61</v>
      </c>
    </row>
    <row r="4" customFormat="false" ht="19.5" hidden="false" customHeight="true" outlineLevel="0" collapsed="false">
      <c r="A4" s="14" t="n">
        <f aca="false">IF(B4&lt;&gt;"",ROW()-1,"")</f>
        <v>3</v>
      </c>
      <c r="B4" s="5" t="s">
        <v>62</v>
      </c>
      <c r="C4" s="5" t="s">
        <v>34</v>
      </c>
      <c r="D4" s="11" t="s">
        <v>63</v>
      </c>
    </row>
    <row r="5" customFormat="false" ht="19.5" hidden="false" customHeight="true" outlineLevel="0" collapsed="false">
      <c r="A5" s="14" t="n">
        <f aca="false">IF(B5&lt;&gt;"",ROW()-1,"")</f>
        <v>4</v>
      </c>
      <c r="B5" s="5" t="s">
        <v>64</v>
      </c>
      <c r="C5" s="5" t="s">
        <v>34</v>
      </c>
      <c r="D5" s="11" t="s">
        <v>65</v>
      </c>
    </row>
    <row r="6" customFormat="false" ht="19.5" hidden="false" customHeight="true" outlineLevel="0" collapsed="false">
      <c r="A6" s="14" t="n">
        <f aca="false">IF(B6&lt;&gt;"",ROW()-1,"")</f>
        <v>5</v>
      </c>
      <c r="B6" s="5" t="s">
        <v>66</v>
      </c>
      <c r="C6" s="5" t="s">
        <v>34</v>
      </c>
      <c r="D6" s="11" t="s">
        <v>67</v>
      </c>
    </row>
    <row r="7" customFormat="false" ht="19.5" hidden="false" customHeight="true" outlineLevel="0" collapsed="false">
      <c r="A7" s="14" t="n">
        <f aca="false">IF(B7&lt;&gt;"",ROW()-1,"")</f>
        <v>6</v>
      </c>
      <c r="B7" s="5" t="s">
        <v>68</v>
      </c>
      <c r="C7" s="5" t="s">
        <v>34</v>
      </c>
      <c r="D7" s="11" t="s">
        <v>69</v>
      </c>
    </row>
    <row r="8" customFormat="false" ht="19.5" hidden="false" customHeight="true" outlineLevel="0" collapsed="false">
      <c r="A8" s="14" t="n">
        <f aca="false">IF(B8&lt;&gt;"",ROW()-1,"")</f>
        <v>7</v>
      </c>
      <c r="B8" s="5" t="s">
        <v>70</v>
      </c>
      <c r="C8" s="5" t="s">
        <v>36</v>
      </c>
      <c r="D8" s="11" t="s">
        <v>71</v>
      </c>
    </row>
    <row r="9" customFormat="false" ht="19.5" hidden="false" customHeight="true" outlineLevel="0" collapsed="false">
      <c r="A9" s="14" t="n">
        <f aca="false">IF(B9&lt;&gt;"",ROW()-1,"")</f>
        <v>8</v>
      </c>
      <c r="B9" s="5" t="s">
        <v>72</v>
      </c>
      <c r="C9" s="5" t="s">
        <v>36</v>
      </c>
      <c r="D9" s="11" t="s">
        <v>73</v>
      </c>
    </row>
    <row r="10" customFormat="false" ht="19.5" hidden="false" customHeight="true" outlineLevel="0" collapsed="false">
      <c r="A10" s="14" t="n">
        <f aca="false">IF(B10&lt;&gt;"",ROW()-1,"")</f>
        <v>9</v>
      </c>
      <c r="B10" s="5" t="s">
        <v>74</v>
      </c>
      <c r="C10" s="5" t="s">
        <v>36</v>
      </c>
      <c r="D10" s="11" t="s">
        <v>75</v>
      </c>
    </row>
    <row r="11" customFormat="false" ht="19.5" hidden="false" customHeight="true" outlineLevel="0" collapsed="false">
      <c r="A11" s="14" t="n">
        <f aca="false">IF(B11&lt;&gt;"",ROW()-1,"")</f>
        <v>10</v>
      </c>
      <c r="B11" s="5" t="s">
        <v>76</v>
      </c>
      <c r="C11" s="5" t="s">
        <v>36</v>
      </c>
      <c r="D11" s="11" t="s">
        <v>77</v>
      </c>
    </row>
    <row r="12" customFormat="false" ht="19.5" hidden="false" customHeight="true" outlineLevel="0" collapsed="false">
      <c r="A12" s="14" t="n">
        <f aca="false">IF(B12&lt;&gt;"",ROW()-1,"")</f>
        <v>11</v>
      </c>
      <c r="B12" s="5" t="s">
        <v>78</v>
      </c>
      <c r="C12" s="5" t="s">
        <v>36</v>
      </c>
      <c r="D12" s="11" t="s">
        <v>79</v>
      </c>
    </row>
    <row r="13" customFormat="false" ht="19.5" hidden="false" customHeight="true" outlineLevel="0" collapsed="false">
      <c r="A13" s="14" t="n">
        <f aca="false">IF(B13&lt;&gt;"",ROW()-1,"")</f>
        <v>12</v>
      </c>
      <c r="B13" s="5" t="s">
        <v>80</v>
      </c>
      <c r="C13" s="5" t="s">
        <v>36</v>
      </c>
      <c r="D13" s="11" t="s">
        <v>81</v>
      </c>
    </row>
    <row r="14" customFormat="false" ht="19.5" hidden="false" customHeight="true" outlineLevel="0" collapsed="false">
      <c r="A14" s="14" t="n">
        <f aca="false">IF(B14&lt;&gt;"",ROW()-1,"")</f>
        <v>13</v>
      </c>
      <c r="B14" s="5" t="s">
        <v>82</v>
      </c>
      <c r="C14" s="5" t="s">
        <v>38</v>
      </c>
      <c r="D14" s="11" t="s">
        <v>83</v>
      </c>
    </row>
    <row r="15" customFormat="false" ht="19.5" hidden="false" customHeight="true" outlineLevel="0" collapsed="false">
      <c r="A15" s="14" t="n">
        <f aca="false">IF(B15&lt;&gt;"",ROW()-1,"")</f>
        <v>14</v>
      </c>
      <c r="B15" s="5" t="s">
        <v>84</v>
      </c>
      <c r="C15" s="5" t="s">
        <v>38</v>
      </c>
      <c r="D15" s="11" t="s">
        <v>85</v>
      </c>
    </row>
    <row r="16" customFormat="false" ht="19.5" hidden="false" customHeight="true" outlineLevel="0" collapsed="false">
      <c r="A16" s="14" t="n">
        <f aca="false">IF(B16&lt;&gt;"",ROW()-1,"")</f>
        <v>15</v>
      </c>
      <c r="B16" s="5" t="s">
        <v>86</v>
      </c>
      <c r="C16" s="5" t="s">
        <v>38</v>
      </c>
      <c r="D16" s="11" t="s">
        <v>87</v>
      </c>
    </row>
    <row r="17" customFormat="false" ht="19.5" hidden="false" customHeight="true" outlineLevel="0" collapsed="false">
      <c r="A17" s="14" t="n">
        <f aca="false">IF(B17&lt;&gt;"",ROW()-1,"")</f>
        <v>16</v>
      </c>
      <c r="B17" s="5" t="s">
        <v>88</v>
      </c>
      <c r="C17" s="5" t="s">
        <v>38</v>
      </c>
      <c r="D17" s="11" t="s">
        <v>89</v>
      </c>
    </row>
    <row r="18" customFormat="false" ht="19.5" hidden="false" customHeight="true" outlineLevel="0" collapsed="false">
      <c r="A18" s="14" t="n">
        <f aca="false">IF(B18&lt;&gt;"",ROW()-1,"")</f>
        <v>17</v>
      </c>
      <c r="B18" s="5" t="s">
        <v>90</v>
      </c>
      <c r="C18" s="5" t="s">
        <v>38</v>
      </c>
      <c r="D18" s="11" t="s">
        <v>91</v>
      </c>
    </row>
    <row r="19" customFormat="false" ht="19.5" hidden="false" customHeight="true" outlineLevel="0" collapsed="false">
      <c r="A19" s="14" t="n">
        <f aca="false">IF(B19&lt;&gt;"",ROW()-1,"")</f>
        <v>18</v>
      </c>
      <c r="B19" s="5" t="s">
        <v>92</v>
      </c>
      <c r="C19" s="5" t="s">
        <v>38</v>
      </c>
      <c r="D19" s="11" t="s">
        <v>93</v>
      </c>
    </row>
    <row r="20" customFormat="false" ht="19.5" hidden="false" customHeight="true" outlineLevel="0" collapsed="false">
      <c r="A20" s="14" t="n">
        <f aca="false">IF(B20&lt;&gt;"",ROW()-1,"")</f>
        <v>19</v>
      </c>
      <c r="B20" s="5" t="s">
        <v>94</v>
      </c>
      <c r="C20" s="5" t="s">
        <v>39</v>
      </c>
      <c r="D20" s="11" t="s">
        <v>95</v>
      </c>
    </row>
    <row r="21" customFormat="false" ht="19.5" hidden="false" customHeight="true" outlineLevel="0" collapsed="false">
      <c r="A21" s="14" t="n">
        <f aca="false">IF(B21&lt;&gt;"",ROW()-1,"")</f>
        <v>20</v>
      </c>
      <c r="B21" s="5" t="s">
        <v>96</v>
      </c>
      <c r="C21" s="5" t="s">
        <v>39</v>
      </c>
      <c r="D21" s="11" t="s">
        <v>97</v>
      </c>
    </row>
    <row r="22" customFormat="false" ht="19.5" hidden="false" customHeight="true" outlineLevel="0" collapsed="false">
      <c r="A22" s="14" t="n">
        <f aca="false">IF(B22&lt;&gt;"",ROW()-1,"")</f>
        <v>21</v>
      </c>
      <c r="B22" s="5" t="s">
        <v>98</v>
      </c>
      <c r="C22" s="5" t="s">
        <v>39</v>
      </c>
      <c r="D22" s="11" t="s">
        <v>99</v>
      </c>
    </row>
    <row r="23" customFormat="false" ht="19.5" hidden="false" customHeight="true" outlineLevel="0" collapsed="false">
      <c r="A23" s="14" t="n">
        <f aca="false">IF(B23&lt;&gt;"",ROW()-1,"")</f>
        <v>22</v>
      </c>
      <c r="B23" s="5" t="s">
        <v>100</v>
      </c>
      <c r="C23" s="5" t="s">
        <v>39</v>
      </c>
      <c r="D23" s="11" t="s">
        <v>101</v>
      </c>
    </row>
    <row r="24" customFormat="false" ht="19.5" hidden="false" customHeight="true" outlineLevel="0" collapsed="false">
      <c r="A24" s="14" t="n">
        <f aca="false">IF(B24&lt;&gt;"",ROW()-1,"")</f>
        <v>23</v>
      </c>
      <c r="B24" s="5" t="s">
        <v>102</v>
      </c>
      <c r="C24" s="5" t="s">
        <v>39</v>
      </c>
      <c r="D24" s="11" t="s">
        <v>103</v>
      </c>
    </row>
    <row r="25" customFormat="false" ht="19.5" hidden="false" customHeight="true" outlineLevel="0" collapsed="false">
      <c r="A25" s="14" t="n">
        <f aca="false">IF(B25&lt;&gt;"",ROW()-1,"")</f>
        <v>24</v>
      </c>
      <c r="B25" s="5" t="s">
        <v>104</v>
      </c>
      <c r="C25" s="5" t="s">
        <v>39</v>
      </c>
      <c r="D25" s="11" t="s">
        <v>105</v>
      </c>
    </row>
    <row r="26" customFormat="false" ht="19.5" hidden="false" customHeight="true" outlineLevel="0" collapsed="false">
      <c r="A26" s="14" t="n">
        <f aca="false">IF(B26&lt;&gt;"",ROW()-1,"")</f>
        <v>25</v>
      </c>
      <c r="B26" s="5" t="s">
        <v>106</v>
      </c>
      <c r="C26" s="5" t="s">
        <v>29</v>
      </c>
      <c r="D26" s="11" t="s">
        <v>107</v>
      </c>
    </row>
    <row r="27" customFormat="false" ht="19.5" hidden="false" customHeight="true" outlineLevel="0" collapsed="false">
      <c r="A27" s="14" t="n">
        <f aca="false">IF(B27&lt;&gt;"",ROW()-1,"")</f>
        <v>26</v>
      </c>
      <c r="B27" s="5" t="s">
        <v>108</v>
      </c>
      <c r="C27" s="5" t="s">
        <v>29</v>
      </c>
      <c r="D27" s="11" t="s">
        <v>109</v>
      </c>
    </row>
    <row r="28" customFormat="false" ht="19.5" hidden="false" customHeight="true" outlineLevel="0" collapsed="false">
      <c r="A28" s="14" t="n">
        <f aca="false">IF(B28&lt;&gt;"",ROW()-1,"")</f>
        <v>27</v>
      </c>
      <c r="B28" s="5" t="s">
        <v>110</v>
      </c>
      <c r="C28" s="5" t="s">
        <v>29</v>
      </c>
      <c r="D28" s="11" t="s">
        <v>111</v>
      </c>
    </row>
    <row r="29" customFormat="false" ht="19.5" hidden="false" customHeight="true" outlineLevel="0" collapsed="false">
      <c r="A29" s="14" t="n">
        <f aca="false">IF(B29&lt;&gt;"",ROW()-1,"")</f>
        <v>28</v>
      </c>
      <c r="B29" s="5" t="s">
        <v>112</v>
      </c>
      <c r="C29" s="5" t="s">
        <v>27</v>
      </c>
      <c r="D29" s="11" t="s">
        <v>113</v>
      </c>
    </row>
    <row r="30" customFormat="false" ht="19.5" hidden="false" customHeight="true" outlineLevel="0" collapsed="false">
      <c r="A30" s="14" t="n">
        <f aca="false">IF(B30&lt;&gt;"",ROW()-1,"")</f>
        <v>29</v>
      </c>
      <c r="B30" s="5" t="s">
        <v>114</v>
      </c>
      <c r="C30" s="5" t="s">
        <v>27</v>
      </c>
      <c r="D30" s="11" t="s">
        <v>115</v>
      </c>
    </row>
    <row r="31" customFormat="false" ht="19.5" hidden="false" customHeight="true" outlineLevel="0" collapsed="false">
      <c r="A31" s="14" t="n">
        <f aca="false">IF(B31&lt;&gt;"",ROW()-1,"")</f>
        <v>30</v>
      </c>
      <c r="B31" s="5" t="s">
        <v>116</v>
      </c>
      <c r="C31" s="5" t="s">
        <v>27</v>
      </c>
      <c r="D31" s="11" t="s">
        <v>117</v>
      </c>
    </row>
    <row r="32" customFormat="false" ht="19.5" hidden="false" customHeight="true" outlineLevel="0" collapsed="false">
      <c r="A32" s="14" t="n">
        <f aca="false">IF(B32&lt;&gt;"",ROW()-1,"")</f>
        <v>31</v>
      </c>
      <c r="B32" s="5" t="s">
        <v>118</v>
      </c>
      <c r="C32" s="5" t="s">
        <v>37</v>
      </c>
      <c r="D32" s="11" t="s">
        <v>119</v>
      </c>
    </row>
    <row r="33" customFormat="false" ht="19.5" hidden="false" customHeight="true" outlineLevel="0" collapsed="false">
      <c r="A33" s="14" t="n">
        <f aca="false">IF(B33&lt;&gt;"",ROW()-1,"")</f>
        <v>32</v>
      </c>
      <c r="B33" s="5" t="s">
        <v>120</v>
      </c>
      <c r="C33" s="5" t="s">
        <v>37</v>
      </c>
      <c r="D33" s="11" t="s">
        <v>121</v>
      </c>
    </row>
    <row r="34" customFormat="false" ht="19.5" hidden="false" customHeight="true" outlineLevel="0" collapsed="false">
      <c r="A34" s="14" t="n">
        <f aca="false">IF(B34&lt;&gt;"",ROW()-1,"")</f>
        <v>33</v>
      </c>
      <c r="B34" s="5" t="s">
        <v>122</v>
      </c>
      <c r="C34" s="5" t="s">
        <v>37</v>
      </c>
      <c r="D34" s="11" t="s">
        <v>123</v>
      </c>
    </row>
    <row r="35" customFormat="false" ht="19.5" hidden="false" customHeight="true" outlineLevel="0" collapsed="false">
      <c r="A35" s="14" t="n">
        <f aca="false">IF(B35&lt;&gt;"",ROW()-1,"")</f>
        <v>34</v>
      </c>
      <c r="B35" s="5" t="s">
        <v>124</v>
      </c>
      <c r="C35" s="5" t="s">
        <v>37</v>
      </c>
      <c r="D35" s="11" t="s">
        <v>125</v>
      </c>
    </row>
    <row r="36" customFormat="false" ht="19.5" hidden="false" customHeight="true" outlineLevel="0" collapsed="false">
      <c r="A36" s="14" t="n">
        <f aca="false">IF(B36&lt;&gt;"",ROW()-1,"")</f>
        <v>35</v>
      </c>
      <c r="B36" s="5" t="s">
        <v>126</v>
      </c>
      <c r="C36" s="5" t="s">
        <v>37</v>
      </c>
      <c r="D36" s="11" t="s">
        <v>127</v>
      </c>
    </row>
    <row r="37" customFormat="false" ht="19.5" hidden="false" customHeight="true" outlineLevel="0" collapsed="false">
      <c r="A37" s="14" t="n">
        <f aca="false">IF(B37&lt;&gt;"",ROW()-1,"")</f>
        <v>36</v>
      </c>
      <c r="B37" s="5" t="s">
        <v>128</v>
      </c>
      <c r="C37" s="5" t="s">
        <v>41</v>
      </c>
      <c r="D37" s="11" t="s">
        <v>129</v>
      </c>
    </row>
    <row r="38" customFormat="false" ht="19.5" hidden="false" customHeight="true" outlineLevel="0" collapsed="false">
      <c r="A38" s="14" t="n">
        <f aca="false">IF(B38&lt;&gt;"",ROW()-1,"")</f>
        <v>37</v>
      </c>
      <c r="B38" s="5" t="s">
        <v>130</v>
      </c>
      <c r="C38" s="5" t="s">
        <v>41</v>
      </c>
      <c r="D38" s="11" t="s">
        <v>131</v>
      </c>
    </row>
    <row r="39" customFormat="false" ht="19.5" hidden="false" customHeight="true" outlineLevel="0" collapsed="false">
      <c r="A39" s="14" t="n">
        <f aca="false">IF(B39&lt;&gt;"",ROW()-1,"")</f>
        <v>38</v>
      </c>
      <c r="B39" s="5" t="s">
        <v>132</v>
      </c>
      <c r="C39" s="5" t="s">
        <v>41</v>
      </c>
      <c r="D39" s="11" t="s">
        <v>133</v>
      </c>
    </row>
    <row r="40" customFormat="false" ht="19.5" hidden="false" customHeight="true" outlineLevel="0" collapsed="false">
      <c r="A40" s="14" t="n">
        <f aca="false">IF(B40&lt;&gt;"",ROW()-1,"")</f>
        <v>39</v>
      </c>
      <c r="B40" s="5" t="s">
        <v>134</v>
      </c>
      <c r="C40" s="5" t="s">
        <v>41</v>
      </c>
      <c r="D40" s="11" t="s">
        <v>135</v>
      </c>
    </row>
    <row r="41" customFormat="false" ht="19.5" hidden="false" customHeight="true" outlineLevel="0" collapsed="false">
      <c r="A41" s="14" t="n">
        <f aca="false">IF(B41&lt;&gt;"",ROW()-1,"")</f>
        <v>40</v>
      </c>
      <c r="B41" s="5" t="s">
        <v>136</v>
      </c>
      <c r="C41" s="5" t="s">
        <v>41</v>
      </c>
      <c r="D41" s="11" t="s">
        <v>137</v>
      </c>
    </row>
    <row r="42" customFormat="false" ht="19.5" hidden="false" customHeight="true" outlineLevel="0" collapsed="false">
      <c r="A42" s="14" t="n">
        <f aca="false">IF(B42&lt;&gt;"",ROW()-1,"")</f>
        <v>41</v>
      </c>
      <c r="B42" s="5" t="s">
        <v>138</v>
      </c>
      <c r="C42" s="5" t="s">
        <v>35</v>
      </c>
      <c r="D42" s="11" t="s">
        <v>139</v>
      </c>
    </row>
    <row r="43" customFormat="false" ht="19.5" hidden="false" customHeight="true" outlineLevel="0" collapsed="false">
      <c r="A43" s="14" t="n">
        <f aca="false">IF(B43&lt;&gt;"",ROW()-1,"")</f>
        <v>42</v>
      </c>
      <c r="B43" s="5" t="s">
        <v>140</v>
      </c>
      <c r="C43" s="5" t="s">
        <v>35</v>
      </c>
      <c r="D43" s="11" t="s">
        <v>141</v>
      </c>
    </row>
    <row r="44" customFormat="false" ht="19.5" hidden="false" customHeight="true" outlineLevel="0" collapsed="false">
      <c r="A44" s="14" t="n">
        <f aca="false">IF(B44&lt;&gt;"",ROW()-1,"")</f>
        <v>43</v>
      </c>
      <c r="B44" s="5" t="s">
        <v>142</v>
      </c>
      <c r="C44" s="5" t="s">
        <v>35</v>
      </c>
      <c r="D44" s="11" t="s">
        <v>143</v>
      </c>
    </row>
    <row r="45" customFormat="false" ht="19.5" hidden="false" customHeight="true" outlineLevel="0" collapsed="false">
      <c r="A45" s="14" t="n">
        <f aca="false">IF(B45&lt;&gt;"",ROW()-1,"")</f>
        <v>44</v>
      </c>
      <c r="B45" s="5" t="s">
        <v>144</v>
      </c>
      <c r="C45" s="5" t="s">
        <v>31</v>
      </c>
      <c r="D45" s="11" t="s">
        <v>145</v>
      </c>
    </row>
    <row r="46" customFormat="false" ht="19.5" hidden="false" customHeight="true" outlineLevel="0" collapsed="false">
      <c r="A46" s="14" t="n">
        <f aca="false">IF(B46&lt;&gt;"",ROW()-1,"")</f>
        <v>45</v>
      </c>
      <c r="B46" s="5" t="s">
        <v>146</v>
      </c>
      <c r="C46" s="5" t="s">
        <v>31</v>
      </c>
      <c r="D46" s="11" t="s">
        <v>147</v>
      </c>
    </row>
    <row r="47" customFormat="false" ht="19.5" hidden="false" customHeight="true" outlineLevel="0" collapsed="false">
      <c r="A47" s="14" t="n">
        <f aca="false">IF(B47&lt;&gt;"",ROW()-1,"")</f>
        <v>46</v>
      </c>
      <c r="B47" s="5" t="s">
        <v>148</v>
      </c>
      <c r="C47" s="5" t="s">
        <v>40</v>
      </c>
      <c r="D47" s="11" t="s">
        <v>149</v>
      </c>
    </row>
    <row r="48" customFormat="false" ht="19.5" hidden="false" customHeight="true" outlineLevel="0" collapsed="false">
      <c r="A48" s="14" t="str">
        <f aca="false">IF(B48&lt;&gt;"",ROW()-1,"")</f>
        <v/>
      </c>
      <c r="B48" s="16"/>
      <c r="C48" s="16"/>
      <c r="D48" s="16"/>
    </row>
    <row r="49" customFormat="false" ht="19.5" hidden="false" customHeight="true" outlineLevel="0" collapsed="false">
      <c r="A49" s="14" t="str">
        <f aca="false">IF(B49&lt;&gt;"",ROW()-1,"")</f>
        <v/>
      </c>
      <c r="B49" s="17"/>
      <c r="C49" s="17"/>
      <c r="D49" s="17"/>
    </row>
    <row r="50" customFormat="false" ht="19.5" hidden="false" customHeight="true" outlineLevel="0" collapsed="false">
      <c r="A50" s="14" t="str">
        <f aca="false">IF(B50&lt;&gt;"",ROW()-1,"")</f>
        <v/>
      </c>
      <c r="B50" s="16"/>
      <c r="C50" s="16"/>
      <c r="D50" s="16"/>
    </row>
    <row r="51" customFormat="false" ht="19.5" hidden="false" customHeight="true" outlineLevel="0" collapsed="false">
      <c r="A51" s="14" t="str">
        <f aca="false">IF(B51&lt;&gt;"",ROW()-1,"")</f>
        <v/>
      </c>
      <c r="B51" s="17"/>
      <c r="C51" s="17"/>
      <c r="D51" s="17"/>
    </row>
    <row r="52" customFormat="false" ht="19.5" hidden="false" customHeight="true" outlineLevel="0" collapsed="false">
      <c r="A52" s="14" t="str">
        <f aca="false">IF(B52&lt;&gt;"",ROW()-1,"")</f>
        <v/>
      </c>
      <c r="B52" s="16"/>
      <c r="C52" s="16"/>
      <c r="D52" s="16"/>
    </row>
    <row r="53" customFormat="false" ht="19.5" hidden="false" customHeight="true" outlineLevel="0" collapsed="false">
      <c r="A53" s="14" t="str">
        <f aca="false">IF(B53&lt;&gt;"",ROW()-1,"")</f>
        <v/>
      </c>
      <c r="B53" s="17"/>
      <c r="C53" s="17"/>
      <c r="D53" s="17"/>
    </row>
    <row r="54" customFormat="false" ht="19.5" hidden="false" customHeight="true" outlineLevel="0" collapsed="false">
      <c r="A54" s="14" t="str">
        <f aca="false">IF(B54&lt;&gt;"",ROW()-1,"")</f>
        <v/>
      </c>
      <c r="B54" s="16"/>
      <c r="C54" s="16"/>
      <c r="D54" s="16"/>
    </row>
    <row r="55" customFormat="false" ht="19.5" hidden="false" customHeight="true" outlineLevel="0" collapsed="false">
      <c r="A55" s="14" t="str">
        <f aca="false">IF(B55&lt;&gt;"",ROW()-1,"")</f>
        <v/>
      </c>
      <c r="B55" s="17"/>
      <c r="C55" s="17"/>
      <c r="D55" s="17"/>
    </row>
    <row r="56" customFormat="false" ht="19.5" hidden="false" customHeight="true" outlineLevel="0" collapsed="false">
      <c r="A56" s="14" t="str">
        <f aca="false">IF(B56&lt;&gt;"",ROW()-1,"")</f>
        <v/>
      </c>
      <c r="B56" s="16"/>
      <c r="C56" s="16"/>
      <c r="D56" s="16"/>
    </row>
    <row r="57" customFormat="false" ht="19.5" hidden="false" customHeight="true" outlineLevel="0" collapsed="false">
      <c r="A57" s="14" t="str">
        <f aca="false">IF(B57&lt;&gt;"",ROW()-1,"")</f>
        <v/>
      </c>
      <c r="B57" s="17"/>
      <c r="C57" s="17"/>
      <c r="D57" s="17"/>
    </row>
    <row r="58" customFormat="false" ht="19.5" hidden="false" customHeight="true" outlineLevel="0" collapsed="false">
      <c r="A58" s="14" t="str">
        <f aca="false">IF(B58&lt;&gt;"",ROW()-1,"")</f>
        <v/>
      </c>
      <c r="B58" s="16"/>
      <c r="C58" s="16"/>
      <c r="D58" s="16"/>
    </row>
    <row r="59" customFormat="false" ht="19.5" hidden="false" customHeight="true" outlineLevel="0" collapsed="false">
      <c r="A59" s="14" t="str">
        <f aca="false">IF(B59&lt;&gt;"",ROW()-1,"")</f>
        <v/>
      </c>
      <c r="B59" s="17"/>
      <c r="C59" s="17"/>
      <c r="D59" s="17"/>
    </row>
    <row r="60" customFormat="false" ht="19.5" hidden="false" customHeight="true" outlineLevel="0" collapsed="false">
      <c r="A60" s="14" t="str">
        <f aca="false">IF(B60&lt;&gt;"",ROW()-1,"")</f>
        <v/>
      </c>
      <c r="B60" s="16"/>
      <c r="C60" s="16"/>
      <c r="D60" s="16"/>
    </row>
    <row r="61" customFormat="false" ht="19.5" hidden="false" customHeight="true" outlineLevel="0" collapsed="false">
      <c r="A61" s="14" t="str">
        <f aca="false">IF(B61&lt;&gt;"",ROW()-1,"")</f>
        <v/>
      </c>
      <c r="B61" s="17"/>
      <c r="C61" s="17"/>
      <c r="D61" s="17"/>
    </row>
    <row r="62" customFormat="false" ht="19.5" hidden="false" customHeight="true" outlineLevel="0" collapsed="false">
      <c r="A62" s="14" t="str">
        <f aca="false">IF(B62&lt;&gt;"",ROW()-1,"")</f>
        <v/>
      </c>
      <c r="B62" s="16"/>
      <c r="C62" s="16"/>
      <c r="D62" s="16"/>
    </row>
    <row r="63" customFormat="false" ht="19.5" hidden="false" customHeight="true" outlineLevel="0" collapsed="false">
      <c r="A63" s="14" t="str">
        <f aca="false">IF(B63&lt;&gt;"",ROW()-1,"")</f>
        <v/>
      </c>
      <c r="B63" s="17"/>
      <c r="C63" s="17"/>
      <c r="D63" s="17"/>
    </row>
    <row r="64" customFormat="false" ht="19.5" hidden="false" customHeight="true" outlineLevel="0" collapsed="false">
      <c r="A64" s="14" t="str">
        <f aca="false">IF(B64&lt;&gt;"",ROW()-1,"")</f>
        <v/>
      </c>
      <c r="B64" s="16"/>
      <c r="C64" s="16"/>
      <c r="D64" s="16"/>
    </row>
    <row r="65" customFormat="false" ht="19.5" hidden="false" customHeight="true" outlineLevel="0" collapsed="false">
      <c r="A65" s="14" t="str">
        <f aca="false">IF(B65&lt;&gt;"",ROW()-1,"")</f>
        <v/>
      </c>
      <c r="B65" s="17"/>
      <c r="C65" s="17"/>
      <c r="D65" s="17"/>
    </row>
    <row r="66" customFormat="false" ht="19.5" hidden="false" customHeight="true" outlineLevel="0" collapsed="false">
      <c r="A66" s="14" t="str">
        <f aca="false">IF(B66&lt;&gt;"",ROW()-1,"")</f>
        <v/>
      </c>
      <c r="B66" s="16"/>
      <c r="C66" s="16"/>
      <c r="D66" s="16"/>
    </row>
    <row r="67" customFormat="false" ht="19.5" hidden="false" customHeight="true" outlineLevel="0" collapsed="false">
      <c r="A67" s="14" t="str">
        <f aca="false">IF(B67&lt;&gt;"",ROW()-1,"")</f>
        <v/>
      </c>
      <c r="B67" s="17"/>
      <c r="C67" s="17"/>
      <c r="D67" s="17"/>
    </row>
    <row r="68" customFormat="false" ht="19.5" hidden="false" customHeight="true" outlineLevel="0" collapsed="false">
      <c r="A68" s="14" t="str">
        <f aca="false">IF(B68&lt;&gt;"",ROW()-1,"")</f>
        <v/>
      </c>
      <c r="B68" s="16"/>
      <c r="C68" s="16"/>
      <c r="D68" s="16"/>
    </row>
    <row r="69" customFormat="false" ht="19.5" hidden="false" customHeight="true" outlineLevel="0" collapsed="false">
      <c r="A69" s="14" t="str">
        <f aca="false">IF(B69&lt;&gt;"",ROW()-1,"")</f>
        <v/>
      </c>
      <c r="B69" s="17"/>
      <c r="C69" s="17"/>
      <c r="D69" s="17"/>
    </row>
    <row r="70" customFormat="false" ht="19.5" hidden="false" customHeight="true" outlineLevel="0" collapsed="false">
      <c r="A70" s="14" t="str">
        <f aca="false">IF(B70&lt;&gt;"",ROW()-1,"")</f>
        <v/>
      </c>
      <c r="B70" s="16"/>
      <c r="C70" s="16"/>
      <c r="D70" s="16"/>
    </row>
    <row r="71" customFormat="false" ht="19.5" hidden="false" customHeight="true" outlineLevel="0" collapsed="false">
      <c r="A71" s="14" t="str">
        <f aca="false">IF(B71&lt;&gt;"",ROW()-1,"")</f>
        <v/>
      </c>
      <c r="B71" s="17"/>
      <c r="C71" s="17"/>
      <c r="D71" s="17"/>
    </row>
    <row r="72" customFormat="false" ht="19.5" hidden="false" customHeight="true" outlineLevel="0" collapsed="false">
      <c r="A72" s="14" t="str">
        <f aca="false">IF(B72&lt;&gt;"",ROW()-1,"")</f>
        <v/>
      </c>
      <c r="B72" s="16"/>
      <c r="C72" s="16"/>
      <c r="D72" s="16"/>
    </row>
    <row r="73" customFormat="false" ht="19.5" hidden="false" customHeight="true" outlineLevel="0" collapsed="false">
      <c r="A73" s="14" t="str">
        <f aca="false">IF(B73&lt;&gt;"",ROW()-1,"")</f>
        <v/>
      </c>
      <c r="B73" s="17"/>
      <c r="C73" s="17"/>
      <c r="D73" s="17"/>
    </row>
    <row r="74" customFormat="false" ht="19.5" hidden="false" customHeight="true" outlineLevel="0" collapsed="false">
      <c r="A74" s="14" t="str">
        <f aca="false">IF(B74&lt;&gt;"",ROW()-1,"")</f>
        <v/>
      </c>
      <c r="B74" s="16"/>
      <c r="C74" s="16"/>
      <c r="D74" s="16"/>
    </row>
    <row r="75" customFormat="false" ht="19.5" hidden="false" customHeight="true" outlineLevel="0" collapsed="false">
      <c r="A75" s="14" t="str">
        <f aca="false">IF(B75&lt;&gt;"",ROW()-1,"")</f>
        <v/>
      </c>
      <c r="B75" s="17"/>
      <c r="C75" s="17"/>
      <c r="D75" s="17"/>
    </row>
    <row r="76" customFormat="false" ht="19.5" hidden="false" customHeight="true" outlineLevel="0" collapsed="false">
      <c r="A76" s="14" t="str">
        <f aca="false">IF(B76&lt;&gt;"",ROW()-1,"")</f>
        <v/>
      </c>
      <c r="B76" s="16"/>
      <c r="C76" s="16"/>
      <c r="D76" s="16"/>
    </row>
    <row r="77" customFormat="false" ht="19.5" hidden="false" customHeight="true" outlineLevel="0" collapsed="false">
      <c r="A77" s="14" t="str">
        <f aca="false">IF(B77&lt;&gt;"",ROW()-1,"")</f>
        <v/>
      </c>
      <c r="B77" s="17"/>
      <c r="C77" s="17"/>
      <c r="D77" s="17"/>
    </row>
    <row r="78" customFormat="false" ht="19.5" hidden="false" customHeight="true" outlineLevel="0" collapsed="false">
      <c r="A78" s="14" t="str">
        <f aca="false">IF(B78&lt;&gt;"",ROW()-1,"")</f>
        <v/>
      </c>
      <c r="B78" s="16"/>
      <c r="C78" s="16"/>
      <c r="D78" s="16"/>
    </row>
    <row r="79" customFormat="false" ht="19.5" hidden="false" customHeight="true" outlineLevel="0" collapsed="false">
      <c r="A79" s="14" t="str">
        <f aca="false">IF(B79&lt;&gt;"",ROW()-1,"")</f>
        <v/>
      </c>
      <c r="B79" s="17"/>
      <c r="C79" s="17"/>
      <c r="D79" s="17"/>
    </row>
    <row r="80" customFormat="false" ht="19.5" hidden="false" customHeight="true" outlineLevel="0" collapsed="false">
      <c r="A80" s="14" t="str">
        <f aca="false">IF(B80&lt;&gt;"",ROW()-1,"")</f>
        <v/>
      </c>
      <c r="B80" s="16"/>
      <c r="C80" s="16"/>
      <c r="D80" s="16"/>
    </row>
    <row r="81" customFormat="false" ht="19.5" hidden="false" customHeight="true" outlineLevel="0" collapsed="false">
      <c r="A81" s="14" t="str">
        <f aca="false">IF(B81&lt;&gt;"",ROW()-1,"")</f>
        <v/>
      </c>
      <c r="B81" s="17"/>
      <c r="C81" s="17"/>
      <c r="D81" s="17"/>
    </row>
    <row r="82" customFormat="false" ht="19.5" hidden="false" customHeight="true" outlineLevel="0" collapsed="false">
      <c r="A82" s="14" t="str">
        <f aca="false">IF(B82&lt;&gt;"",ROW()-1,"")</f>
        <v/>
      </c>
      <c r="B82" s="16"/>
      <c r="C82" s="16"/>
      <c r="D82" s="16"/>
    </row>
    <row r="83" customFormat="false" ht="19.5" hidden="false" customHeight="true" outlineLevel="0" collapsed="false">
      <c r="A83" s="14" t="str">
        <f aca="false">IF(B83&lt;&gt;"",ROW()-1,"")</f>
        <v/>
      </c>
      <c r="B83" s="17"/>
      <c r="C83" s="17"/>
      <c r="D83" s="17"/>
    </row>
    <row r="84" customFormat="false" ht="19.5" hidden="false" customHeight="true" outlineLevel="0" collapsed="false">
      <c r="A84" s="14" t="str">
        <f aca="false">IF(B84&lt;&gt;"",ROW()-1,"")</f>
        <v/>
      </c>
      <c r="B84" s="16"/>
      <c r="C84" s="16"/>
      <c r="D84" s="16"/>
    </row>
    <row r="85" customFormat="false" ht="19.5" hidden="false" customHeight="true" outlineLevel="0" collapsed="false">
      <c r="A85" s="14" t="str">
        <f aca="false">IF(B85&lt;&gt;"",ROW()-1,"")</f>
        <v/>
      </c>
      <c r="B85" s="17"/>
      <c r="C85" s="17"/>
      <c r="D85" s="17"/>
    </row>
    <row r="86" customFormat="false" ht="19.5" hidden="false" customHeight="true" outlineLevel="0" collapsed="false">
      <c r="A86" s="14" t="str">
        <f aca="false">IF(B86&lt;&gt;"",ROW()-1,"")</f>
        <v/>
      </c>
      <c r="B86" s="16"/>
      <c r="C86" s="16"/>
      <c r="D86" s="16"/>
    </row>
    <row r="87" customFormat="false" ht="19.5" hidden="false" customHeight="true" outlineLevel="0" collapsed="false">
      <c r="A87" s="14" t="str">
        <f aca="false">IF(B87&lt;&gt;"",ROW()-1,"")</f>
        <v/>
      </c>
      <c r="B87" s="17"/>
      <c r="C87" s="17"/>
      <c r="D87" s="17"/>
    </row>
    <row r="88" customFormat="false" ht="19.5" hidden="false" customHeight="true" outlineLevel="0" collapsed="false">
      <c r="A88" s="14" t="str">
        <f aca="false">IF(B88&lt;&gt;"",ROW()-1,"")</f>
        <v/>
      </c>
      <c r="B88" s="16"/>
      <c r="C88" s="16"/>
      <c r="D88" s="16"/>
    </row>
    <row r="89" customFormat="false" ht="19.5" hidden="false" customHeight="true" outlineLevel="0" collapsed="false">
      <c r="A89" s="14" t="str">
        <f aca="false">IF(B89&lt;&gt;"",ROW()-1,"")</f>
        <v/>
      </c>
      <c r="B89" s="17"/>
      <c r="C89" s="17"/>
      <c r="D89" s="17"/>
    </row>
    <row r="90" customFormat="false" ht="19.5" hidden="false" customHeight="true" outlineLevel="0" collapsed="false">
      <c r="A90" s="14" t="str">
        <f aca="false">IF(B90&lt;&gt;"",ROW()-1,"")</f>
        <v/>
      </c>
      <c r="B90" s="16"/>
      <c r="C90" s="16"/>
      <c r="D90" s="16"/>
    </row>
    <row r="91" customFormat="false" ht="19.5" hidden="false" customHeight="true" outlineLevel="0" collapsed="false">
      <c r="A91" s="14" t="str">
        <f aca="false">IF(B91&lt;&gt;"",ROW()-1,"")</f>
        <v/>
      </c>
      <c r="B91" s="17"/>
      <c r="C91" s="17"/>
      <c r="D91" s="17"/>
    </row>
    <row r="92" customFormat="false" ht="19.5" hidden="false" customHeight="true" outlineLevel="0" collapsed="false">
      <c r="A92" s="14" t="str">
        <f aca="false">IF(B92&lt;&gt;"",ROW()-1,"")</f>
        <v/>
      </c>
      <c r="B92" s="16"/>
      <c r="C92" s="16"/>
      <c r="D92" s="16"/>
    </row>
    <row r="93" customFormat="false" ht="19.5" hidden="false" customHeight="true" outlineLevel="0" collapsed="false">
      <c r="A93" s="14" t="str">
        <f aca="false">IF(B93&lt;&gt;"",ROW()-1,"")</f>
        <v/>
      </c>
      <c r="B93" s="17"/>
      <c r="C93" s="17"/>
      <c r="D93" s="17"/>
    </row>
    <row r="94" customFormat="false" ht="19.5" hidden="false" customHeight="true" outlineLevel="0" collapsed="false">
      <c r="A94" s="14" t="str">
        <f aca="false">IF(B94&lt;&gt;"",ROW()-1,"")</f>
        <v/>
      </c>
      <c r="B94" s="16"/>
      <c r="C94" s="16"/>
      <c r="D94" s="16"/>
    </row>
    <row r="95" customFormat="false" ht="19.5" hidden="false" customHeight="true" outlineLevel="0" collapsed="false">
      <c r="A95" s="14" t="str">
        <f aca="false">IF(B95&lt;&gt;"",ROW()-1,"")</f>
        <v/>
      </c>
      <c r="B95" s="17"/>
      <c r="C95" s="17"/>
      <c r="D95" s="17"/>
    </row>
    <row r="96" customFormat="false" ht="19.5" hidden="false" customHeight="true" outlineLevel="0" collapsed="false">
      <c r="A96" s="14" t="str">
        <f aca="false">IF(B96&lt;&gt;"",ROW()-1,"")</f>
        <v/>
      </c>
      <c r="B96" s="16"/>
      <c r="C96" s="16"/>
      <c r="D96" s="16"/>
    </row>
    <row r="97" customFormat="false" ht="19.5" hidden="false" customHeight="true" outlineLevel="0" collapsed="false">
      <c r="A97" s="14" t="str">
        <f aca="false">IF(B97&lt;&gt;"",ROW()-1,"")</f>
        <v/>
      </c>
      <c r="B97" s="17"/>
      <c r="C97" s="17"/>
      <c r="D97" s="17"/>
    </row>
    <row r="98" customFormat="false" ht="19.5" hidden="false" customHeight="true" outlineLevel="0" collapsed="false">
      <c r="A98" s="14" t="str">
        <f aca="false">IF(B98&lt;&gt;"",ROW()-1,"")</f>
        <v/>
      </c>
      <c r="B98" s="16"/>
      <c r="C98" s="16"/>
      <c r="D98" s="16"/>
    </row>
    <row r="99" customFormat="false" ht="19.5" hidden="false" customHeight="true" outlineLevel="0" collapsed="false">
      <c r="A99" s="14" t="str">
        <f aca="false">IF(B99&lt;&gt;"",ROW()-1,"")</f>
        <v/>
      </c>
      <c r="B99" s="17"/>
      <c r="C99" s="17"/>
      <c r="D99" s="17"/>
    </row>
    <row r="100" customFormat="false" ht="19.5" hidden="false" customHeight="true" outlineLevel="0" collapsed="false">
      <c r="A100" s="14" t="str">
        <f aca="false">IF(B100&lt;&gt;"",ROW()-1,"")</f>
        <v/>
      </c>
      <c r="B100" s="16"/>
      <c r="C100" s="16"/>
      <c r="D100" s="16"/>
    </row>
    <row r="101" customFormat="false" ht="19.5" hidden="false" customHeight="true" outlineLevel="0" collapsed="false">
      <c r="A101" s="14" t="str">
        <f aca="false">IF(B101&lt;&gt;"",ROW()-1,"")</f>
        <v/>
      </c>
      <c r="B101" s="17"/>
      <c r="C101" s="17"/>
      <c r="D101" s="17"/>
    </row>
    <row r="102" customFormat="false" ht="19.5" hidden="false" customHeight="true" outlineLevel="0" collapsed="false">
      <c r="A102" s="14" t="str">
        <f aca="false">IF(B102&lt;&gt;"",ROW()-1,"")</f>
        <v/>
      </c>
      <c r="B102" s="16"/>
      <c r="C102" s="16"/>
      <c r="D102" s="16"/>
    </row>
    <row r="103" customFormat="false" ht="19.5" hidden="false" customHeight="true" outlineLevel="0" collapsed="false">
      <c r="A103" s="14" t="str">
        <f aca="false">IF(B103&lt;&gt;"",ROW()-1,"")</f>
        <v/>
      </c>
      <c r="B103" s="17"/>
      <c r="C103" s="17"/>
      <c r="D103" s="17"/>
    </row>
    <row r="104" customFormat="false" ht="19.5" hidden="false" customHeight="true" outlineLevel="0" collapsed="false">
      <c r="A104" s="14" t="str">
        <f aca="false">IF(B104&lt;&gt;"",ROW()-1,"")</f>
        <v/>
      </c>
      <c r="B104" s="16"/>
      <c r="C104" s="16"/>
      <c r="D104" s="16"/>
    </row>
    <row r="105" customFormat="false" ht="19.5" hidden="false" customHeight="true" outlineLevel="0" collapsed="false">
      <c r="A105" s="14" t="str">
        <f aca="false">IF(B105&lt;&gt;"",ROW()-1,"")</f>
        <v/>
      </c>
      <c r="B105" s="17"/>
      <c r="C105" s="17"/>
      <c r="D105" s="17"/>
    </row>
    <row r="106" customFormat="false" ht="19.5" hidden="false" customHeight="true" outlineLevel="0" collapsed="false">
      <c r="A106" s="14" t="str">
        <f aca="false">IF(B106&lt;&gt;"",ROW()-1,"")</f>
        <v/>
      </c>
      <c r="B106" s="16"/>
      <c r="C106" s="16"/>
      <c r="D106" s="16"/>
    </row>
    <row r="107" customFormat="false" ht="19.5" hidden="false" customHeight="true" outlineLevel="0" collapsed="false">
      <c r="A107" s="14" t="str">
        <f aca="false">IF(B107&lt;&gt;"",ROW()-1,"")</f>
        <v/>
      </c>
      <c r="B107" s="17"/>
      <c r="C107" s="17"/>
      <c r="D107" s="17"/>
    </row>
    <row r="108" customFormat="false" ht="19.5" hidden="false" customHeight="true" outlineLevel="0" collapsed="false">
      <c r="A108" s="14" t="str">
        <f aca="false">IF(B108&lt;&gt;"",ROW()-1,"")</f>
        <v/>
      </c>
      <c r="B108" s="16"/>
      <c r="C108" s="16"/>
      <c r="D108" s="16"/>
    </row>
    <row r="109" customFormat="false" ht="19.5" hidden="false" customHeight="true" outlineLevel="0" collapsed="false">
      <c r="A109" s="14" t="str">
        <f aca="false">IF(B109&lt;&gt;"",ROW()-1,"")</f>
        <v/>
      </c>
      <c r="B109" s="17"/>
      <c r="C109" s="17"/>
      <c r="D109" s="17"/>
    </row>
    <row r="110" customFormat="false" ht="19.5" hidden="false" customHeight="true" outlineLevel="0" collapsed="false">
      <c r="A110" s="14" t="str">
        <f aca="false">IF(B110&lt;&gt;"",ROW()-1,"")</f>
        <v/>
      </c>
      <c r="B110" s="16"/>
      <c r="C110" s="16"/>
      <c r="D110" s="16"/>
    </row>
    <row r="111" customFormat="false" ht="19.5" hidden="false" customHeight="true" outlineLevel="0" collapsed="false">
      <c r="A111" s="14" t="str">
        <f aca="false">IF(B111&lt;&gt;"",ROW()-1,"")</f>
        <v/>
      </c>
      <c r="B111" s="17"/>
      <c r="C111" s="17"/>
      <c r="D111" s="17"/>
    </row>
    <row r="112" customFormat="false" ht="19.5" hidden="false" customHeight="true" outlineLevel="0" collapsed="false">
      <c r="A112" s="14" t="str">
        <f aca="false">IF(B112&lt;&gt;"",ROW()-1,"")</f>
        <v/>
      </c>
      <c r="B112" s="16"/>
      <c r="C112" s="16"/>
      <c r="D112" s="16"/>
    </row>
    <row r="113" customFormat="false" ht="19.5" hidden="false" customHeight="true" outlineLevel="0" collapsed="false">
      <c r="A113" s="14" t="str">
        <f aca="false">IF(B113&lt;&gt;"",ROW()-1,"")</f>
        <v/>
      </c>
      <c r="B113" s="17"/>
      <c r="C113" s="17"/>
      <c r="D113" s="17"/>
    </row>
    <row r="114" customFormat="false" ht="19.5" hidden="false" customHeight="true" outlineLevel="0" collapsed="false">
      <c r="A114" s="14" t="str">
        <f aca="false">IF(B114&lt;&gt;"",ROW()-1,"")</f>
        <v/>
      </c>
      <c r="B114" s="16"/>
      <c r="C114" s="16"/>
      <c r="D114" s="16"/>
    </row>
    <row r="115" customFormat="false" ht="19.5" hidden="false" customHeight="true" outlineLevel="0" collapsed="false">
      <c r="A115" s="14" t="str">
        <f aca="false">IF(B115&lt;&gt;"",ROW()-1,"")</f>
        <v/>
      </c>
      <c r="B115" s="17"/>
      <c r="C115" s="17"/>
      <c r="D115" s="17"/>
    </row>
    <row r="116" customFormat="false" ht="19.5" hidden="false" customHeight="true" outlineLevel="0" collapsed="false">
      <c r="A116" s="14" t="str">
        <f aca="false">IF(B116&lt;&gt;"",ROW()-1,"")</f>
        <v/>
      </c>
      <c r="B116" s="16"/>
      <c r="C116" s="16"/>
      <c r="D116" s="16"/>
    </row>
    <row r="117" customFormat="false" ht="19.5" hidden="false" customHeight="true" outlineLevel="0" collapsed="false">
      <c r="A117" s="14" t="str">
        <f aca="false">IF(B117&lt;&gt;"",ROW()-1,"")</f>
        <v/>
      </c>
      <c r="B117" s="17"/>
      <c r="C117" s="17"/>
      <c r="D117" s="17"/>
    </row>
    <row r="118" customFormat="false" ht="19.5" hidden="false" customHeight="true" outlineLevel="0" collapsed="false">
      <c r="A118" s="14" t="str">
        <f aca="false">IF(B118&lt;&gt;"",ROW()-1,"")</f>
        <v/>
      </c>
      <c r="B118" s="16"/>
      <c r="C118" s="16"/>
      <c r="D118" s="16"/>
    </row>
    <row r="119" customFormat="false" ht="19.5" hidden="false" customHeight="true" outlineLevel="0" collapsed="false">
      <c r="A119" s="14" t="str">
        <f aca="false">IF(B119&lt;&gt;"",ROW()-1,"")</f>
        <v/>
      </c>
      <c r="B119" s="17"/>
      <c r="C119" s="17"/>
      <c r="D119" s="17"/>
    </row>
    <row r="120" customFormat="false" ht="19.5" hidden="false" customHeight="true" outlineLevel="0" collapsed="false">
      <c r="A120" s="14" t="str">
        <f aca="false">IF(B120&lt;&gt;"",ROW()-1,"")</f>
        <v/>
      </c>
      <c r="B120" s="16"/>
      <c r="C120" s="16"/>
      <c r="D120" s="16"/>
    </row>
    <row r="121" customFormat="false" ht="19.5" hidden="false" customHeight="true" outlineLevel="0" collapsed="false">
      <c r="A121" s="14" t="str">
        <f aca="false">IF(B121&lt;&gt;"",ROW()-1,"")</f>
        <v/>
      </c>
      <c r="B121" s="17"/>
      <c r="C121" s="17"/>
      <c r="D121" s="17"/>
    </row>
    <row r="122" customFormat="false" ht="19.5" hidden="false" customHeight="true" outlineLevel="0" collapsed="false">
      <c r="A122" s="14" t="str">
        <f aca="false">IF(B122&lt;&gt;"",ROW()-1,"")</f>
        <v/>
      </c>
      <c r="B122" s="16"/>
      <c r="C122" s="16"/>
      <c r="D122" s="16"/>
    </row>
    <row r="123" customFormat="false" ht="19.5" hidden="false" customHeight="true" outlineLevel="0" collapsed="false">
      <c r="A123" s="14" t="str">
        <f aca="false">IF(B123&lt;&gt;"",ROW()-1,"")</f>
        <v/>
      </c>
      <c r="B123" s="17"/>
      <c r="C123" s="17"/>
      <c r="D123" s="17"/>
    </row>
    <row r="124" customFormat="false" ht="19.5" hidden="false" customHeight="true" outlineLevel="0" collapsed="false">
      <c r="A124" s="14" t="str">
        <f aca="false">IF(B124&lt;&gt;"",ROW()-1,"")</f>
        <v/>
      </c>
      <c r="B124" s="16"/>
      <c r="C124" s="16"/>
      <c r="D124" s="16"/>
    </row>
    <row r="125" customFormat="false" ht="19.5" hidden="false" customHeight="true" outlineLevel="0" collapsed="false">
      <c r="A125" s="14" t="str">
        <f aca="false">IF(B125&lt;&gt;"",ROW()-1,"")</f>
        <v/>
      </c>
      <c r="B125" s="17"/>
      <c r="C125" s="17"/>
      <c r="D125" s="17"/>
    </row>
    <row r="126" customFormat="false" ht="19.5" hidden="false" customHeight="true" outlineLevel="0" collapsed="false">
      <c r="A126" s="14" t="str">
        <f aca="false">IF(B126&lt;&gt;"",ROW()-1,"")</f>
        <v/>
      </c>
      <c r="B126" s="16"/>
      <c r="C126" s="16"/>
      <c r="D126" s="16"/>
    </row>
    <row r="127" customFormat="false" ht="19.5" hidden="false" customHeight="true" outlineLevel="0" collapsed="false">
      <c r="A127" s="14" t="str">
        <f aca="false">IF(B127&lt;&gt;"",ROW()-1,"")</f>
        <v/>
      </c>
      <c r="B127" s="17"/>
      <c r="C127" s="17"/>
      <c r="D127" s="17"/>
    </row>
    <row r="128" customFormat="false" ht="19.5" hidden="false" customHeight="true" outlineLevel="0" collapsed="false">
      <c r="A128" s="14" t="str">
        <f aca="false">IF(B128&lt;&gt;"",ROW()-1,"")</f>
        <v/>
      </c>
      <c r="B128" s="16"/>
      <c r="C128" s="16"/>
      <c r="D128" s="16"/>
    </row>
    <row r="129" customFormat="false" ht="19.5" hidden="false" customHeight="true" outlineLevel="0" collapsed="false">
      <c r="A129" s="14" t="str">
        <f aca="false">IF(B129&lt;&gt;"",ROW()-1,"")</f>
        <v/>
      </c>
      <c r="B129" s="17"/>
      <c r="C129" s="17"/>
      <c r="D129" s="17"/>
    </row>
    <row r="130" customFormat="false" ht="19.5" hidden="false" customHeight="true" outlineLevel="0" collapsed="false">
      <c r="A130" s="14" t="str">
        <f aca="false">IF(B130&lt;&gt;"",ROW()-1,"")</f>
        <v/>
      </c>
      <c r="B130" s="16"/>
      <c r="C130" s="16"/>
      <c r="D130" s="16"/>
    </row>
    <row r="131" customFormat="false" ht="19.5" hidden="false" customHeight="true" outlineLevel="0" collapsed="false">
      <c r="A131" s="14" t="str">
        <f aca="false">IF(B131&lt;&gt;"",ROW()-1,"")</f>
        <v/>
      </c>
      <c r="B131" s="17"/>
      <c r="C131" s="17"/>
      <c r="D131" s="17"/>
    </row>
    <row r="132" customFormat="false" ht="19.5" hidden="false" customHeight="true" outlineLevel="0" collapsed="false">
      <c r="A132" s="14" t="str">
        <f aca="false">IF(B132&lt;&gt;"",ROW()-1,"")</f>
        <v/>
      </c>
      <c r="B132" s="16"/>
      <c r="C132" s="16"/>
      <c r="D132" s="16"/>
    </row>
    <row r="133" customFormat="false" ht="19.5" hidden="false" customHeight="true" outlineLevel="0" collapsed="false">
      <c r="A133" s="14" t="str">
        <f aca="false">IF(B133&lt;&gt;"",ROW()-1,"")</f>
        <v/>
      </c>
      <c r="B133" s="17"/>
      <c r="C133" s="17"/>
      <c r="D133" s="17"/>
    </row>
    <row r="134" customFormat="false" ht="19.5" hidden="false" customHeight="true" outlineLevel="0" collapsed="false">
      <c r="A134" s="14" t="str">
        <f aca="false">IF(B134&lt;&gt;"",ROW()-1,"")</f>
        <v/>
      </c>
      <c r="B134" s="16"/>
      <c r="C134" s="16"/>
      <c r="D134" s="16"/>
    </row>
    <row r="135" customFormat="false" ht="19.5" hidden="false" customHeight="true" outlineLevel="0" collapsed="false">
      <c r="A135" s="14" t="str">
        <f aca="false">IF(B135&lt;&gt;"",ROW()-1,"")</f>
        <v/>
      </c>
      <c r="B135" s="17"/>
      <c r="C135" s="17"/>
      <c r="D135" s="17"/>
    </row>
    <row r="136" customFormat="false" ht="19.5" hidden="false" customHeight="true" outlineLevel="0" collapsed="false">
      <c r="A136" s="14" t="str">
        <f aca="false">IF(B136&lt;&gt;"",ROW()-1,"")</f>
        <v/>
      </c>
      <c r="B136" s="16"/>
      <c r="C136" s="16"/>
      <c r="D136" s="16"/>
    </row>
    <row r="137" customFormat="false" ht="19.5" hidden="false" customHeight="true" outlineLevel="0" collapsed="false">
      <c r="A137" s="14" t="str">
        <f aca="false">IF(B137&lt;&gt;"",ROW()-1,"")</f>
        <v/>
      </c>
      <c r="B137" s="17"/>
      <c r="C137" s="17"/>
      <c r="D137" s="17"/>
    </row>
    <row r="138" customFormat="false" ht="19.5" hidden="false" customHeight="true" outlineLevel="0" collapsed="false">
      <c r="A138" s="14" t="str">
        <f aca="false">IF(B138&lt;&gt;"",ROW()-1,"")</f>
        <v/>
      </c>
      <c r="B138" s="16"/>
      <c r="C138" s="16"/>
      <c r="D138" s="16"/>
    </row>
    <row r="139" customFormat="false" ht="19.5" hidden="false" customHeight="true" outlineLevel="0" collapsed="false">
      <c r="A139" s="14" t="str">
        <f aca="false">IF(B139&lt;&gt;"",ROW()-1,"")</f>
        <v/>
      </c>
      <c r="B139" s="17"/>
      <c r="C139" s="17"/>
      <c r="D139" s="17"/>
    </row>
    <row r="140" customFormat="false" ht="19.5" hidden="false" customHeight="true" outlineLevel="0" collapsed="false">
      <c r="A140" s="14" t="str">
        <f aca="false">IF(B140&lt;&gt;"",ROW()-1,"")</f>
        <v/>
      </c>
      <c r="B140" s="16"/>
      <c r="C140" s="16"/>
      <c r="D140" s="16"/>
    </row>
    <row r="141" customFormat="false" ht="19.5" hidden="false" customHeight="true" outlineLevel="0" collapsed="false">
      <c r="A141" s="14" t="str">
        <f aca="false">IF(B141&lt;&gt;"",ROW()-1,"")</f>
        <v/>
      </c>
      <c r="B141" s="17"/>
      <c r="C141" s="17"/>
      <c r="D141" s="17"/>
    </row>
    <row r="142" customFormat="false" ht="19.5" hidden="false" customHeight="true" outlineLevel="0" collapsed="false">
      <c r="A142" s="14" t="str">
        <f aca="false">IF(B142&lt;&gt;"",ROW()-1,"")</f>
        <v/>
      </c>
      <c r="B142" s="16"/>
      <c r="C142" s="16"/>
      <c r="D142" s="16"/>
    </row>
    <row r="143" customFormat="false" ht="19.5" hidden="false" customHeight="true" outlineLevel="0" collapsed="false">
      <c r="A143" s="14" t="str">
        <f aca="false">IF(B143&lt;&gt;"",ROW()-1,"")</f>
        <v/>
      </c>
      <c r="B143" s="17"/>
      <c r="C143" s="17"/>
      <c r="D143" s="17"/>
    </row>
    <row r="144" customFormat="false" ht="19.5" hidden="false" customHeight="true" outlineLevel="0" collapsed="false">
      <c r="A144" s="14" t="str">
        <f aca="false">IF(B144&lt;&gt;"",ROW()-1,"")</f>
        <v/>
      </c>
      <c r="B144" s="16"/>
      <c r="C144" s="16"/>
      <c r="D144" s="16"/>
    </row>
    <row r="145" customFormat="false" ht="19.5" hidden="false" customHeight="true" outlineLevel="0" collapsed="false">
      <c r="A145" s="14" t="str">
        <f aca="false">IF(B145&lt;&gt;"",ROW()-1,"")</f>
        <v/>
      </c>
      <c r="B145" s="17"/>
      <c r="C145" s="17"/>
      <c r="D145" s="17"/>
    </row>
    <row r="146" customFormat="false" ht="19.5" hidden="false" customHeight="true" outlineLevel="0" collapsed="false">
      <c r="A146" s="14" t="str">
        <f aca="false">IF(B146&lt;&gt;"",ROW()-1,"")</f>
        <v/>
      </c>
      <c r="B146" s="16"/>
      <c r="C146" s="16"/>
      <c r="D146" s="16"/>
    </row>
    <row r="147" customFormat="false" ht="19.5" hidden="false" customHeight="true" outlineLevel="0" collapsed="false">
      <c r="A147" s="14" t="str">
        <f aca="false">IF(B147&lt;&gt;"",ROW()-1,"")</f>
        <v/>
      </c>
      <c r="B147" s="17"/>
      <c r="C147" s="17"/>
      <c r="D147" s="17"/>
    </row>
    <row r="148" customFormat="false" ht="19.5" hidden="false" customHeight="true" outlineLevel="0" collapsed="false">
      <c r="A148" s="14" t="str">
        <f aca="false">IF(B148&lt;&gt;"",ROW()-1,"")</f>
        <v/>
      </c>
      <c r="B148" s="16"/>
      <c r="C148" s="16"/>
      <c r="D148" s="16"/>
    </row>
    <row r="149" customFormat="false" ht="19.5" hidden="false" customHeight="true" outlineLevel="0" collapsed="false">
      <c r="A149" s="14" t="str">
        <f aca="false">IF(B149&lt;&gt;"",ROW()-1,"")</f>
        <v/>
      </c>
      <c r="B149" s="17"/>
      <c r="C149" s="17"/>
      <c r="D149" s="17"/>
    </row>
    <row r="150" customFormat="false" ht="19.5" hidden="false" customHeight="true" outlineLevel="0" collapsed="false">
      <c r="A150" s="14" t="str">
        <f aca="false">IF(B150&lt;&gt;"",ROW()-1,"")</f>
        <v/>
      </c>
      <c r="B150" s="16"/>
      <c r="C150" s="16"/>
      <c r="D150" s="16"/>
    </row>
    <row r="151" customFormat="false" ht="19.5" hidden="false" customHeight="true" outlineLevel="0" collapsed="false">
      <c r="A151" s="14" t="str">
        <f aca="false">IF(B151&lt;&gt;"",ROW()-1,"")</f>
        <v/>
      </c>
      <c r="B151" s="17"/>
      <c r="C151" s="17"/>
      <c r="D151" s="17"/>
    </row>
    <row r="152" customFormat="false" ht="19.5" hidden="false" customHeight="true" outlineLevel="0" collapsed="false">
      <c r="A152" s="14" t="str">
        <f aca="false">IF(B152&lt;&gt;"",ROW()-1,"")</f>
        <v/>
      </c>
      <c r="B152" s="16"/>
      <c r="C152" s="16"/>
      <c r="D152" s="16"/>
    </row>
    <row r="153" customFormat="false" ht="19.5" hidden="false" customHeight="true" outlineLevel="0" collapsed="false">
      <c r="A153" s="14" t="str">
        <f aca="false">IF(B153&lt;&gt;"",ROW()-1,"")</f>
        <v/>
      </c>
      <c r="B153" s="17"/>
      <c r="C153" s="17"/>
      <c r="D153" s="17"/>
    </row>
    <row r="154" customFormat="false" ht="19.5" hidden="false" customHeight="true" outlineLevel="0" collapsed="false">
      <c r="A154" s="14" t="str">
        <f aca="false">IF(B154&lt;&gt;"",ROW()-1,"")</f>
        <v/>
      </c>
      <c r="B154" s="16"/>
      <c r="C154" s="16"/>
      <c r="D154" s="16"/>
    </row>
    <row r="155" customFormat="false" ht="19.5" hidden="false" customHeight="true" outlineLevel="0" collapsed="false">
      <c r="A155" s="14" t="str">
        <f aca="false">IF(B155&lt;&gt;"",ROW()-1,"")</f>
        <v/>
      </c>
      <c r="B155" s="17"/>
      <c r="C155" s="17"/>
      <c r="D155" s="17"/>
    </row>
    <row r="156" customFormat="false" ht="19.5" hidden="false" customHeight="true" outlineLevel="0" collapsed="false">
      <c r="A156" s="14" t="str">
        <f aca="false">IF(B156&lt;&gt;"",ROW()-1,"")</f>
        <v/>
      </c>
      <c r="B156" s="16"/>
      <c r="C156" s="16"/>
      <c r="D156" s="16"/>
    </row>
    <row r="157" customFormat="false" ht="19.5" hidden="false" customHeight="true" outlineLevel="0" collapsed="false">
      <c r="A157" s="14" t="str">
        <f aca="false">IF(B157&lt;&gt;"",ROW()-1,"")</f>
        <v/>
      </c>
      <c r="B157" s="17"/>
      <c r="C157" s="17"/>
      <c r="D157" s="17"/>
    </row>
    <row r="158" customFormat="false" ht="19.5" hidden="false" customHeight="true" outlineLevel="0" collapsed="false">
      <c r="A158" s="14" t="str">
        <f aca="false">IF(B158&lt;&gt;"",ROW()-1,"")</f>
        <v/>
      </c>
      <c r="B158" s="16"/>
      <c r="C158" s="16"/>
      <c r="D158" s="16"/>
    </row>
    <row r="159" customFormat="false" ht="19.5" hidden="false" customHeight="true" outlineLevel="0" collapsed="false">
      <c r="A159" s="14" t="str">
        <f aca="false">IF(B159&lt;&gt;"",ROW()-1,"")</f>
        <v/>
      </c>
      <c r="B159" s="17"/>
      <c r="C159" s="17"/>
      <c r="D159" s="17"/>
    </row>
    <row r="160" customFormat="false" ht="19.5" hidden="false" customHeight="true" outlineLevel="0" collapsed="false">
      <c r="A160" s="14" t="str">
        <f aca="false">IF(B160&lt;&gt;"",ROW()-1,"")</f>
        <v/>
      </c>
      <c r="B160" s="16"/>
      <c r="C160" s="16"/>
      <c r="D160" s="16"/>
    </row>
    <row r="161" customFormat="false" ht="19.5" hidden="false" customHeight="true" outlineLevel="0" collapsed="false">
      <c r="A161" s="14" t="str">
        <f aca="false">IF(B161&lt;&gt;"",ROW()-1,"")</f>
        <v/>
      </c>
      <c r="B161" s="17"/>
      <c r="C161" s="17"/>
      <c r="D161" s="17"/>
    </row>
    <row r="162" customFormat="false" ht="19.5" hidden="false" customHeight="true" outlineLevel="0" collapsed="false">
      <c r="A162" s="14" t="str">
        <f aca="false">IF(B162&lt;&gt;"",ROW()-1,"")</f>
        <v/>
      </c>
      <c r="B162" s="16"/>
      <c r="C162" s="16"/>
      <c r="D162" s="16"/>
    </row>
    <row r="163" customFormat="false" ht="19.5" hidden="false" customHeight="true" outlineLevel="0" collapsed="false">
      <c r="A163" s="14" t="str">
        <f aca="false">IF(B163&lt;&gt;"",ROW()-1,"")</f>
        <v/>
      </c>
      <c r="B163" s="17"/>
      <c r="C163" s="17"/>
      <c r="D163" s="17"/>
    </row>
    <row r="164" customFormat="false" ht="19.5" hidden="false" customHeight="true" outlineLevel="0" collapsed="false">
      <c r="A164" s="14" t="str">
        <f aca="false">IF(B164&lt;&gt;"",ROW()-1,"")</f>
        <v/>
      </c>
      <c r="B164" s="16"/>
      <c r="C164" s="16"/>
      <c r="D164" s="16"/>
    </row>
    <row r="165" customFormat="false" ht="19.5" hidden="false" customHeight="true" outlineLevel="0" collapsed="false">
      <c r="A165" s="14" t="str">
        <f aca="false">IF(B165&lt;&gt;"",ROW()-1,"")</f>
        <v/>
      </c>
      <c r="B165" s="17"/>
      <c r="C165" s="17"/>
      <c r="D165" s="17"/>
    </row>
    <row r="166" customFormat="false" ht="19.5" hidden="false" customHeight="true" outlineLevel="0" collapsed="false">
      <c r="A166" s="14" t="str">
        <f aca="false">IF(B166&lt;&gt;"",ROW()-1,"")</f>
        <v/>
      </c>
      <c r="B166" s="16"/>
      <c r="C166" s="16"/>
      <c r="D166" s="16"/>
    </row>
    <row r="167" customFormat="false" ht="19.5" hidden="false" customHeight="true" outlineLevel="0" collapsed="false">
      <c r="A167" s="14" t="str">
        <f aca="false">IF(B167&lt;&gt;"",ROW()-1,"")</f>
        <v/>
      </c>
      <c r="B167" s="17"/>
      <c r="C167" s="17"/>
      <c r="D167" s="17"/>
    </row>
    <row r="168" customFormat="false" ht="19.5" hidden="false" customHeight="true" outlineLevel="0" collapsed="false">
      <c r="A168" s="14" t="str">
        <f aca="false">IF(B168&lt;&gt;"",ROW()-1,"")</f>
        <v/>
      </c>
      <c r="B168" s="16"/>
      <c r="C168" s="16"/>
      <c r="D168" s="16"/>
    </row>
    <row r="169" customFormat="false" ht="19.5" hidden="false" customHeight="true" outlineLevel="0" collapsed="false">
      <c r="A169" s="14" t="str">
        <f aca="false">IF(B169&lt;&gt;"",ROW()-1,"")</f>
        <v/>
      </c>
      <c r="B169" s="17"/>
      <c r="C169" s="17"/>
      <c r="D169" s="17"/>
    </row>
    <row r="170" customFormat="false" ht="19.5" hidden="false" customHeight="true" outlineLevel="0" collapsed="false">
      <c r="A170" s="14" t="str">
        <f aca="false">IF(B170&lt;&gt;"",ROW()-1,"")</f>
        <v/>
      </c>
      <c r="B170" s="16"/>
      <c r="C170" s="16"/>
      <c r="D170" s="16"/>
    </row>
    <row r="171" customFormat="false" ht="19.5" hidden="false" customHeight="true" outlineLevel="0" collapsed="false">
      <c r="A171" s="14" t="str">
        <f aca="false">IF(B171&lt;&gt;"",ROW()-1,"")</f>
        <v/>
      </c>
      <c r="B171" s="17"/>
      <c r="C171" s="17"/>
      <c r="D171" s="17"/>
    </row>
    <row r="172" customFormat="false" ht="19.5" hidden="false" customHeight="true" outlineLevel="0" collapsed="false">
      <c r="A172" s="14" t="str">
        <f aca="false">IF(B172&lt;&gt;"",ROW()-1,"")</f>
        <v/>
      </c>
      <c r="B172" s="16"/>
      <c r="C172" s="16"/>
      <c r="D172" s="16"/>
    </row>
    <row r="173" customFormat="false" ht="19.5" hidden="false" customHeight="true" outlineLevel="0" collapsed="false">
      <c r="A173" s="14" t="str">
        <f aca="false">IF(B173&lt;&gt;"",ROW()-1,"")</f>
        <v/>
      </c>
      <c r="B173" s="17"/>
      <c r="C173" s="17"/>
      <c r="D173" s="17"/>
    </row>
    <row r="174" customFormat="false" ht="19.5" hidden="false" customHeight="true" outlineLevel="0" collapsed="false">
      <c r="A174" s="14" t="str">
        <f aca="false">IF(B174&lt;&gt;"",ROW()-1,"")</f>
        <v/>
      </c>
      <c r="B174" s="16"/>
      <c r="C174" s="16"/>
      <c r="D174" s="16"/>
    </row>
    <row r="175" customFormat="false" ht="19.5" hidden="false" customHeight="true" outlineLevel="0" collapsed="false">
      <c r="A175" s="14" t="str">
        <f aca="false">IF(B175&lt;&gt;"",ROW()-1,"")</f>
        <v/>
      </c>
      <c r="B175" s="17"/>
      <c r="C175" s="17"/>
      <c r="D175" s="17"/>
    </row>
    <row r="176" customFormat="false" ht="19.5" hidden="false" customHeight="true" outlineLevel="0" collapsed="false">
      <c r="A176" s="14" t="str">
        <f aca="false">IF(B176&lt;&gt;"",ROW()-1,"")</f>
        <v/>
      </c>
      <c r="B176" s="16"/>
      <c r="C176" s="16"/>
      <c r="D176" s="16"/>
    </row>
    <row r="177" customFormat="false" ht="19.5" hidden="false" customHeight="true" outlineLevel="0" collapsed="false">
      <c r="A177" s="14" t="str">
        <f aca="false">IF(B177&lt;&gt;"",ROW()-1,"")</f>
        <v/>
      </c>
      <c r="B177" s="17"/>
      <c r="C177" s="17"/>
      <c r="D177" s="17"/>
    </row>
    <row r="178" customFormat="false" ht="19.5" hidden="false" customHeight="true" outlineLevel="0" collapsed="false">
      <c r="A178" s="14" t="str">
        <f aca="false">IF(B178&lt;&gt;"",ROW()-1,"")</f>
        <v/>
      </c>
      <c r="B178" s="16"/>
      <c r="C178" s="16"/>
      <c r="D178" s="16"/>
    </row>
    <row r="179" customFormat="false" ht="19.5" hidden="false" customHeight="true" outlineLevel="0" collapsed="false">
      <c r="A179" s="14" t="str">
        <f aca="false">IF(B179&lt;&gt;"",ROW()-1,"")</f>
        <v/>
      </c>
      <c r="B179" s="17"/>
      <c r="C179" s="17"/>
      <c r="D179" s="17"/>
    </row>
    <row r="180" customFormat="false" ht="19.5" hidden="false" customHeight="true" outlineLevel="0" collapsed="false">
      <c r="A180" s="14" t="str">
        <f aca="false">IF(B180&lt;&gt;"",ROW()-1,"")</f>
        <v/>
      </c>
      <c r="B180" s="16"/>
      <c r="C180" s="16"/>
      <c r="D180" s="16"/>
    </row>
    <row r="181" customFormat="false" ht="19.5" hidden="false" customHeight="true" outlineLevel="0" collapsed="false">
      <c r="A181" s="14" t="str">
        <f aca="false">IF(B181&lt;&gt;"",ROW()-1,"")</f>
        <v/>
      </c>
      <c r="B181" s="17"/>
      <c r="C181" s="17"/>
      <c r="D181" s="17"/>
    </row>
    <row r="182" customFormat="false" ht="19.5" hidden="false" customHeight="true" outlineLevel="0" collapsed="false">
      <c r="A182" s="14" t="str">
        <f aca="false">IF(B182&lt;&gt;"",ROW()-1,"")</f>
        <v/>
      </c>
      <c r="B182" s="16"/>
      <c r="C182" s="16"/>
      <c r="D182" s="16"/>
    </row>
    <row r="183" customFormat="false" ht="19.5" hidden="false" customHeight="true" outlineLevel="0" collapsed="false">
      <c r="A183" s="14" t="str">
        <f aca="false">IF(B183&lt;&gt;"",ROW()-1,"")</f>
        <v/>
      </c>
      <c r="B183" s="17"/>
      <c r="C183" s="17"/>
      <c r="D183" s="17"/>
    </row>
    <row r="184" customFormat="false" ht="19.5" hidden="false" customHeight="true" outlineLevel="0" collapsed="false">
      <c r="A184" s="14" t="str">
        <f aca="false">IF(B184&lt;&gt;"",ROW()-1,"")</f>
        <v/>
      </c>
      <c r="B184" s="16"/>
      <c r="C184" s="16"/>
      <c r="D184" s="16"/>
    </row>
    <row r="185" customFormat="false" ht="19.5" hidden="false" customHeight="true" outlineLevel="0" collapsed="false">
      <c r="A185" s="14" t="str">
        <f aca="false">IF(B185&lt;&gt;"",ROW()-1,"")</f>
        <v/>
      </c>
      <c r="B185" s="17"/>
      <c r="C185" s="17"/>
      <c r="D185" s="17"/>
    </row>
    <row r="186" customFormat="false" ht="19.5" hidden="false" customHeight="true" outlineLevel="0" collapsed="false">
      <c r="A186" s="14" t="str">
        <f aca="false">IF(B186&lt;&gt;"",ROW()-1,"")</f>
        <v/>
      </c>
      <c r="B186" s="16"/>
      <c r="C186" s="16"/>
      <c r="D186" s="16"/>
    </row>
    <row r="187" customFormat="false" ht="19.5" hidden="false" customHeight="true" outlineLevel="0" collapsed="false">
      <c r="A187" s="14" t="str">
        <f aca="false">IF(B187&lt;&gt;"",ROW()-1,"")</f>
        <v/>
      </c>
      <c r="B187" s="17"/>
      <c r="C187" s="17"/>
      <c r="D187" s="17"/>
    </row>
    <row r="188" customFormat="false" ht="19.5" hidden="false" customHeight="true" outlineLevel="0" collapsed="false">
      <c r="A188" s="14" t="str">
        <f aca="false">IF(B188&lt;&gt;"",ROW()-1,"")</f>
        <v/>
      </c>
      <c r="B188" s="16"/>
      <c r="C188" s="16"/>
      <c r="D188" s="16"/>
    </row>
    <row r="189" customFormat="false" ht="19.5" hidden="false" customHeight="true" outlineLevel="0" collapsed="false">
      <c r="A189" s="14" t="str">
        <f aca="false">IF(B189&lt;&gt;"",ROW()-1,"")</f>
        <v/>
      </c>
      <c r="B189" s="17"/>
      <c r="C189" s="17"/>
      <c r="D189" s="17"/>
    </row>
    <row r="190" customFormat="false" ht="19.5" hidden="false" customHeight="true" outlineLevel="0" collapsed="false">
      <c r="A190" s="14" t="str">
        <f aca="false">IF(B190&lt;&gt;"",ROW()-1,"")</f>
        <v/>
      </c>
      <c r="B190" s="16"/>
      <c r="C190" s="16"/>
      <c r="D190" s="16"/>
    </row>
    <row r="191" customFormat="false" ht="19.5" hidden="false" customHeight="true" outlineLevel="0" collapsed="false">
      <c r="A191" s="14" t="str">
        <f aca="false">IF(B191&lt;&gt;"",ROW()-1,"")</f>
        <v/>
      </c>
      <c r="B191" s="17"/>
      <c r="C191" s="17"/>
      <c r="D191" s="17"/>
    </row>
    <row r="192" customFormat="false" ht="19.5" hidden="false" customHeight="true" outlineLevel="0" collapsed="false">
      <c r="A192" s="14" t="str">
        <f aca="false">IF(B192&lt;&gt;"",ROW()-1,"")</f>
        <v/>
      </c>
      <c r="B192" s="16"/>
      <c r="C192" s="16"/>
      <c r="D192" s="16"/>
    </row>
    <row r="193" customFormat="false" ht="19.5" hidden="false" customHeight="true" outlineLevel="0" collapsed="false">
      <c r="A193" s="14" t="str">
        <f aca="false">IF(B193&lt;&gt;"",ROW()-1,"")</f>
        <v/>
      </c>
      <c r="B193" s="17"/>
      <c r="C193" s="17"/>
      <c r="D193" s="17"/>
    </row>
    <row r="194" customFormat="false" ht="19.5" hidden="false" customHeight="true" outlineLevel="0" collapsed="false">
      <c r="A194" s="14" t="str">
        <f aca="false">IF(B194&lt;&gt;"",ROW()-1,"")</f>
        <v/>
      </c>
      <c r="B194" s="16"/>
      <c r="C194" s="16"/>
      <c r="D194" s="16"/>
    </row>
    <row r="195" customFormat="false" ht="19.5" hidden="false" customHeight="true" outlineLevel="0" collapsed="false">
      <c r="A195" s="14" t="str">
        <f aca="false">IF(B195&lt;&gt;"",ROW()-1,"")</f>
        <v/>
      </c>
      <c r="B195" s="17"/>
      <c r="C195" s="17"/>
      <c r="D195" s="17"/>
    </row>
    <row r="196" customFormat="false" ht="19.5" hidden="false" customHeight="true" outlineLevel="0" collapsed="false">
      <c r="A196" s="14" t="str">
        <f aca="false">IF(B196&lt;&gt;"",ROW()-1,"")</f>
        <v/>
      </c>
      <c r="B196" s="16"/>
      <c r="C196" s="16"/>
      <c r="D196" s="16"/>
    </row>
    <row r="197" customFormat="false" ht="19.5" hidden="false" customHeight="true" outlineLevel="0" collapsed="false">
      <c r="A197" s="14" t="str">
        <f aca="false">IF(B197&lt;&gt;"",ROW()-1,"")</f>
        <v/>
      </c>
      <c r="B197" s="17"/>
      <c r="C197" s="17"/>
      <c r="D197" s="17"/>
    </row>
    <row r="198" customFormat="false" ht="19.5" hidden="false" customHeight="true" outlineLevel="0" collapsed="false">
      <c r="A198" s="14" t="str">
        <f aca="false">IF(B198&lt;&gt;"",ROW()-1,"")</f>
        <v/>
      </c>
      <c r="B198" s="16"/>
      <c r="C198" s="16"/>
      <c r="D198" s="16"/>
    </row>
    <row r="199" customFormat="false" ht="19.5" hidden="false" customHeight="true" outlineLevel="0" collapsed="false">
      <c r="A199" s="14" t="str">
        <f aca="false">IF(B199&lt;&gt;"",ROW()-1,"")</f>
        <v/>
      </c>
      <c r="B199" s="17"/>
      <c r="C199" s="17"/>
      <c r="D199" s="17"/>
    </row>
    <row r="200" customFormat="false" ht="19.5" hidden="false" customHeight="true" outlineLevel="0" collapsed="false">
      <c r="A200" s="14" t="str">
        <f aca="false">IF(B200&lt;&gt;"",ROW()-1,"")</f>
        <v/>
      </c>
      <c r="B200" s="16"/>
      <c r="C200" s="16"/>
      <c r="D200" s="16"/>
    </row>
    <row r="201" customFormat="false" ht="19.5" hidden="false" customHeight="true" outlineLevel="0" collapsed="false">
      <c r="A201" s="14" t="str">
        <f aca="false">IF(B201&lt;&gt;"",ROW()-1,"")</f>
        <v/>
      </c>
      <c r="B201" s="17"/>
      <c r="C201" s="17"/>
      <c r="D201" s="17"/>
    </row>
  </sheetData>
  <dataValidations count="1">
    <dataValidation allowBlank="true" errorStyle="stop" operator="between" showDropDown="false" showErrorMessage="false" showInputMessage="false" sqref="C2:C201" type="list">
      <formula1>الإعدادات!$E$3:$E$16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1" min="2" style="0" width="14"/>
  </cols>
  <sheetData>
    <row r="1" customFormat="false" ht="30" hidden="false" customHeight="true" outlineLevel="0" collapsed="false">
      <c r="A1" s="9" t="s">
        <v>150</v>
      </c>
      <c r="B1" s="9" t="str">
        <f aca="false">IF(الحصص!A2&lt;&gt;"",الحصص!A2,"")</f>
        <v>حصة 1</v>
      </c>
      <c r="C1" s="9" t="str">
        <f aca="false">IF(الحصص!A3&lt;&gt;"",الحصص!A3,"")</f>
        <v>حصة 2</v>
      </c>
      <c r="D1" s="9" t="str">
        <f aca="false">IF(الحصص!A4&lt;&gt;"",الحصص!A4,"")</f>
        <v>حصة 3</v>
      </c>
      <c r="E1" s="9" t="str">
        <f aca="false">IF(الحصص!A5&lt;&gt;"",الحصص!A5,"")</f>
        <v>حصة 4</v>
      </c>
      <c r="F1" s="9" t="str">
        <f aca="false">IF(الحصص!A6&lt;&gt;"",الحصص!A6,"")</f>
        <v>حصة 5</v>
      </c>
      <c r="G1" s="9" t="str">
        <f aca="false">IF(الحصص!A7&lt;&gt;"",الحصص!A7,"")</f>
        <v>حصة 6</v>
      </c>
      <c r="H1" s="9" t="str">
        <f aca="false">IF(الحصص!A8&lt;&gt;"",الحصص!A8,"")</f>
        <v>حصة 7</v>
      </c>
      <c r="I1" s="9" t="str">
        <f aca="false">IF(الحصص!A9&lt;&gt;"",الحصص!A9,"")</f>
        <v>حصة 8</v>
      </c>
      <c r="J1" s="9" t="str">
        <f aca="false">IF(الحصص!A10&lt;&gt;"",الحصص!A10,"")</f>
        <v/>
      </c>
      <c r="K1" s="9" t="str">
        <f aca="false">IF(الحصص!A11&lt;&gt;"",الحصص!A11,"")</f>
        <v/>
      </c>
      <c r="L1" s="9" t="str">
        <f aca="false">IF(الحصص!A12&lt;&gt;"",الحصص!A12,"")</f>
        <v/>
      </c>
      <c r="M1" s="9" t="str">
        <f aca="false">IF(الحصص!A13&lt;&gt;"",الحصص!A13,"")</f>
        <v/>
      </c>
      <c r="N1" s="9" t="str">
        <f aca="false">IF(الحصص!A14&lt;&gt;"",الحصص!A14,"")</f>
        <v/>
      </c>
      <c r="O1" s="9" t="str">
        <f aca="false">IF(الحصص!A15&lt;&gt;"",الحصص!A15,"")</f>
        <v/>
      </c>
      <c r="P1" s="9" t="str">
        <f aca="false">IF(الحصص!A16&lt;&gt;"",الحصص!A16,"")</f>
        <v/>
      </c>
      <c r="Q1" s="9" t="str">
        <f aca="false">IF(الحصص!A17&lt;&gt;"",الحصص!A17,"")</f>
        <v/>
      </c>
      <c r="R1" s="9" t="str">
        <f aca="false">IF(الحصص!A18&lt;&gt;"",الحصص!A18,"")</f>
        <v/>
      </c>
      <c r="S1" s="9" t="str">
        <f aca="false">IF(الحصص!A19&lt;&gt;"",الحصص!A19,"")</f>
        <v/>
      </c>
      <c r="T1" s="9" t="str">
        <f aca="false">IF(الحصص!A20&lt;&gt;"",الحصص!A20,"")</f>
        <v/>
      </c>
      <c r="U1" s="9" t="str">
        <f aca="false">IF(الحصص!A21&lt;&gt;"",الحصص!A21,"")</f>
        <v/>
      </c>
    </row>
    <row r="2" customFormat="false" ht="19.5" hidden="false" customHeight="true" outlineLevel="0" collapsed="false">
      <c r="A2" s="18" t="str">
        <f aca="false">IF(1&lt;=الإعدادات!$C$3,"القاعة "&amp;TEXT(1,"0"),"")</f>
        <v>القاعة 1</v>
      </c>
      <c r="B2" s="19" t="str">
        <f aca="false">IF(AND($A2&lt;&gt;"",B$1&lt;&gt;"",1&lt;=IFERROR(VLOOKUP(B$1,الحصص!$A:$F,6,FALSE()),0)),"X","")</f>
        <v>X</v>
      </c>
      <c r="C2" s="19" t="str">
        <f aca="false">IF(AND($A2&lt;&gt;"",C$1&lt;&gt;"",1&lt;=IFERROR(VLOOKUP(C$1,الحصص!$A:$F,6,FALSE()),0)),"X","")</f>
        <v>X</v>
      </c>
      <c r="D2" s="19" t="str">
        <f aca="false">IF(AND($A2&lt;&gt;"",D$1&lt;&gt;"",1&lt;=IFERROR(VLOOKUP(D$1,الحصص!$A:$F,6,FALSE()),0)),"X","")</f>
        <v>X</v>
      </c>
      <c r="E2" s="19" t="str">
        <f aca="false">IF(AND($A2&lt;&gt;"",E$1&lt;&gt;"",1&lt;=IFERROR(VLOOKUP(E$1,الحصص!$A:$F,6,FALSE()),0)),"X","")</f>
        <v>X</v>
      </c>
      <c r="F2" s="19" t="str">
        <f aca="false">IF(AND($A2&lt;&gt;"",F$1&lt;&gt;"",1&lt;=IFERROR(VLOOKUP(F$1,الحصص!$A:$F,6,FALSE()),0)),"X","")</f>
        <v>X</v>
      </c>
      <c r="G2" s="19" t="str">
        <f aca="false">IF(AND($A2&lt;&gt;"",G$1&lt;&gt;"",1&lt;=IFERROR(VLOOKUP(G$1,الحصص!$A:$F,6,FALSE()),0)),"X","")</f>
        <v>X</v>
      </c>
      <c r="H2" s="19" t="str">
        <f aca="false">IF(AND($A2&lt;&gt;"",H$1&lt;&gt;"",1&lt;=IFERROR(VLOOKUP(H$1,الحصص!$A:$F,6,FALSE()),0)),"X","")</f>
        <v>X</v>
      </c>
      <c r="I2" s="19" t="str">
        <f aca="false">IF(AND($A2&lt;&gt;"",I$1&lt;&gt;"",1&lt;=IFERROR(VLOOKUP(I$1,الحصص!$A:$F,6,FALSE()),0)),"X","")</f>
        <v>X</v>
      </c>
      <c r="J2" s="19" t="str">
        <f aca="false">IF(AND($A2&lt;&gt;"",J$1&lt;&gt;"",1&lt;=IFERROR(VLOOKUP(J$1,الحصص!$A:$F,6,FALSE()),0)),"X","")</f>
        <v/>
      </c>
      <c r="K2" s="19" t="str">
        <f aca="false">IF(AND($A2&lt;&gt;"",K$1&lt;&gt;"",1&lt;=IFERROR(VLOOKUP(K$1,الحصص!$A:$F,6,FALSE()),0)),"X","")</f>
        <v/>
      </c>
      <c r="L2" s="19" t="str">
        <f aca="false">IF(AND($A2&lt;&gt;"",L$1&lt;&gt;"",1&lt;=IFERROR(VLOOKUP(L$1,الحصص!$A:$F,6,FALSE()),0)),"X","")</f>
        <v/>
      </c>
      <c r="M2" s="19" t="str">
        <f aca="false">IF(AND($A2&lt;&gt;"",M$1&lt;&gt;"",1&lt;=IFERROR(VLOOKUP(M$1,الحصص!$A:$F,6,FALSE()),0)),"X","")</f>
        <v/>
      </c>
      <c r="N2" s="19" t="str">
        <f aca="false">IF(AND($A2&lt;&gt;"",N$1&lt;&gt;"",1&lt;=IFERROR(VLOOKUP(N$1,الحصص!$A:$F,6,FALSE()),0)),"X","")</f>
        <v/>
      </c>
      <c r="O2" s="19" t="str">
        <f aca="false">IF(AND($A2&lt;&gt;"",O$1&lt;&gt;"",1&lt;=IFERROR(VLOOKUP(O$1,الحصص!$A:$F,6,FALSE()),0)),"X","")</f>
        <v/>
      </c>
      <c r="P2" s="19" t="str">
        <f aca="false">IF(AND($A2&lt;&gt;"",P$1&lt;&gt;"",1&lt;=IFERROR(VLOOKUP(P$1,الحصص!$A:$F,6,FALSE()),0)),"X","")</f>
        <v/>
      </c>
      <c r="Q2" s="19" t="str">
        <f aca="false">IF(AND($A2&lt;&gt;"",Q$1&lt;&gt;"",1&lt;=IFERROR(VLOOKUP(Q$1,الحصص!$A:$F,6,FALSE()),0)),"X","")</f>
        <v/>
      </c>
      <c r="R2" s="19" t="str">
        <f aca="false">IF(AND($A2&lt;&gt;"",R$1&lt;&gt;"",1&lt;=IFERROR(VLOOKUP(R$1,الحصص!$A:$F,6,FALSE()),0)),"X","")</f>
        <v/>
      </c>
      <c r="S2" s="19" t="str">
        <f aca="false">IF(AND($A2&lt;&gt;"",S$1&lt;&gt;"",1&lt;=IFERROR(VLOOKUP(S$1,الحصص!$A:$F,6,FALSE()),0)),"X","")</f>
        <v/>
      </c>
      <c r="T2" s="19" t="str">
        <f aca="false">IF(AND($A2&lt;&gt;"",T$1&lt;&gt;"",1&lt;=IFERROR(VLOOKUP(T$1,الحصص!$A:$F,6,FALSE()),0)),"X","")</f>
        <v/>
      </c>
      <c r="U2" s="19" t="str">
        <f aca="false">IF(AND($A2&lt;&gt;"",U$1&lt;&gt;"",1&lt;=IFERROR(VLOOKUP(U$1,الحصص!$A:$F,6,FALSE()),0)),"X","")</f>
        <v/>
      </c>
    </row>
    <row r="3" customFormat="false" ht="19.5" hidden="false" customHeight="true" outlineLevel="0" collapsed="false">
      <c r="A3" s="18" t="str">
        <f aca="false">IF(2&lt;=الإعدادات!$C$3,"القاعة "&amp;TEXT(2,"0"),"")</f>
        <v>القاعة 2</v>
      </c>
      <c r="B3" s="20" t="str">
        <f aca="false">IF(AND($A3&lt;&gt;"",B$1&lt;&gt;"",2&lt;=IFERROR(VLOOKUP(B$1,الحصص!$A:$F,6,FALSE()),0)),"X","")</f>
        <v>X</v>
      </c>
      <c r="C3" s="20" t="str">
        <f aca="false">IF(AND($A3&lt;&gt;"",C$1&lt;&gt;"",2&lt;=IFERROR(VLOOKUP(C$1,الحصص!$A:$F,6,FALSE()),0)),"X","")</f>
        <v>X</v>
      </c>
      <c r="D3" s="20" t="str">
        <f aca="false">IF(AND($A3&lt;&gt;"",D$1&lt;&gt;"",2&lt;=IFERROR(VLOOKUP(D$1,الحصص!$A:$F,6,FALSE()),0)),"X","")</f>
        <v>X</v>
      </c>
      <c r="E3" s="20" t="str">
        <f aca="false">IF(AND($A3&lt;&gt;"",E$1&lt;&gt;"",2&lt;=IFERROR(VLOOKUP(E$1,الحصص!$A:$F,6,FALSE()),0)),"X","")</f>
        <v>X</v>
      </c>
      <c r="F3" s="20" t="str">
        <f aca="false">IF(AND($A3&lt;&gt;"",F$1&lt;&gt;"",2&lt;=IFERROR(VLOOKUP(F$1,الحصص!$A:$F,6,FALSE()),0)),"X","")</f>
        <v>X</v>
      </c>
      <c r="G3" s="20" t="str">
        <f aca="false">IF(AND($A3&lt;&gt;"",G$1&lt;&gt;"",2&lt;=IFERROR(VLOOKUP(G$1,الحصص!$A:$F,6,FALSE()),0)),"X","")</f>
        <v>X</v>
      </c>
      <c r="H3" s="20" t="str">
        <f aca="false">IF(AND($A3&lt;&gt;"",H$1&lt;&gt;"",2&lt;=IFERROR(VLOOKUP(H$1,الحصص!$A:$F,6,FALSE()),0)),"X","")</f>
        <v>X</v>
      </c>
      <c r="I3" s="20" t="str">
        <f aca="false">IF(AND($A3&lt;&gt;"",I$1&lt;&gt;"",2&lt;=IFERROR(VLOOKUP(I$1,الحصص!$A:$F,6,FALSE()),0)),"X","")</f>
        <v>X</v>
      </c>
      <c r="J3" s="20" t="str">
        <f aca="false">IF(AND($A3&lt;&gt;"",J$1&lt;&gt;"",2&lt;=IFERROR(VLOOKUP(J$1,الحصص!$A:$F,6,FALSE()),0)),"X","")</f>
        <v/>
      </c>
      <c r="K3" s="20" t="str">
        <f aca="false">IF(AND($A3&lt;&gt;"",K$1&lt;&gt;"",2&lt;=IFERROR(VLOOKUP(K$1,الحصص!$A:$F,6,FALSE()),0)),"X","")</f>
        <v/>
      </c>
      <c r="L3" s="20" t="str">
        <f aca="false">IF(AND($A3&lt;&gt;"",L$1&lt;&gt;"",2&lt;=IFERROR(VLOOKUP(L$1,الحصص!$A:$F,6,FALSE()),0)),"X","")</f>
        <v/>
      </c>
      <c r="M3" s="20" t="str">
        <f aca="false">IF(AND($A3&lt;&gt;"",M$1&lt;&gt;"",2&lt;=IFERROR(VLOOKUP(M$1,الحصص!$A:$F,6,FALSE()),0)),"X","")</f>
        <v/>
      </c>
      <c r="N3" s="20" t="str">
        <f aca="false">IF(AND($A3&lt;&gt;"",N$1&lt;&gt;"",2&lt;=IFERROR(VLOOKUP(N$1,الحصص!$A:$F,6,FALSE()),0)),"X","")</f>
        <v/>
      </c>
      <c r="O3" s="20" t="str">
        <f aca="false">IF(AND($A3&lt;&gt;"",O$1&lt;&gt;"",2&lt;=IFERROR(VLOOKUP(O$1,الحصص!$A:$F,6,FALSE()),0)),"X","")</f>
        <v/>
      </c>
      <c r="P3" s="20" t="str">
        <f aca="false">IF(AND($A3&lt;&gt;"",P$1&lt;&gt;"",2&lt;=IFERROR(VLOOKUP(P$1,الحصص!$A:$F,6,FALSE()),0)),"X","")</f>
        <v/>
      </c>
      <c r="Q3" s="20" t="str">
        <f aca="false">IF(AND($A3&lt;&gt;"",Q$1&lt;&gt;"",2&lt;=IFERROR(VLOOKUP(Q$1,الحصص!$A:$F,6,FALSE()),0)),"X","")</f>
        <v/>
      </c>
      <c r="R3" s="20" t="str">
        <f aca="false">IF(AND($A3&lt;&gt;"",R$1&lt;&gt;"",2&lt;=IFERROR(VLOOKUP(R$1,الحصص!$A:$F,6,FALSE()),0)),"X","")</f>
        <v/>
      </c>
      <c r="S3" s="20" t="str">
        <f aca="false">IF(AND($A3&lt;&gt;"",S$1&lt;&gt;"",2&lt;=IFERROR(VLOOKUP(S$1,الحصص!$A:$F,6,FALSE()),0)),"X","")</f>
        <v/>
      </c>
      <c r="T3" s="20" t="str">
        <f aca="false">IF(AND($A3&lt;&gt;"",T$1&lt;&gt;"",2&lt;=IFERROR(VLOOKUP(T$1,الحصص!$A:$F,6,FALSE()),0)),"X","")</f>
        <v/>
      </c>
      <c r="U3" s="20" t="str">
        <f aca="false">IF(AND($A3&lt;&gt;"",U$1&lt;&gt;"",2&lt;=IFERROR(VLOOKUP(U$1,الحصص!$A:$F,6,FALSE()),0)),"X","")</f>
        <v/>
      </c>
    </row>
    <row r="4" customFormat="false" ht="19.5" hidden="false" customHeight="true" outlineLevel="0" collapsed="false">
      <c r="A4" s="18" t="str">
        <f aca="false">IF(3&lt;=الإعدادات!$C$3,"القاعة "&amp;TEXT(3,"0"),"")</f>
        <v>القاعة 3</v>
      </c>
      <c r="B4" s="19" t="str">
        <f aca="false">IF(AND($A4&lt;&gt;"",B$1&lt;&gt;"",3&lt;=IFERROR(VLOOKUP(B$1,الحصص!$A:$F,6,FALSE()),0)),"X","")</f>
        <v>X</v>
      </c>
      <c r="C4" s="19" t="str">
        <f aca="false">IF(AND($A4&lt;&gt;"",C$1&lt;&gt;"",3&lt;=IFERROR(VLOOKUP(C$1,الحصص!$A:$F,6,FALSE()),0)),"X","")</f>
        <v>X</v>
      </c>
      <c r="D4" s="19" t="str">
        <f aca="false">IF(AND($A4&lt;&gt;"",D$1&lt;&gt;"",3&lt;=IFERROR(VLOOKUP(D$1,الحصص!$A:$F,6,FALSE()),0)),"X","")</f>
        <v>X</v>
      </c>
      <c r="E4" s="19" t="str">
        <f aca="false">IF(AND($A4&lt;&gt;"",E$1&lt;&gt;"",3&lt;=IFERROR(VLOOKUP(E$1,الحصص!$A:$F,6,FALSE()),0)),"X","")</f>
        <v>X</v>
      </c>
      <c r="F4" s="19" t="str">
        <f aca="false">IF(AND($A4&lt;&gt;"",F$1&lt;&gt;"",3&lt;=IFERROR(VLOOKUP(F$1,الحصص!$A:$F,6,FALSE()),0)),"X","")</f>
        <v>X</v>
      </c>
      <c r="G4" s="19" t="str">
        <f aca="false">IF(AND($A4&lt;&gt;"",G$1&lt;&gt;"",3&lt;=IFERROR(VLOOKUP(G$1,الحصص!$A:$F,6,FALSE()),0)),"X","")</f>
        <v>X</v>
      </c>
      <c r="H4" s="19" t="str">
        <f aca="false">IF(AND($A4&lt;&gt;"",H$1&lt;&gt;"",3&lt;=IFERROR(VLOOKUP(H$1,الحصص!$A:$F,6,FALSE()),0)),"X","")</f>
        <v>X</v>
      </c>
      <c r="I4" s="19" t="str">
        <f aca="false">IF(AND($A4&lt;&gt;"",I$1&lt;&gt;"",3&lt;=IFERROR(VLOOKUP(I$1,الحصص!$A:$F,6,FALSE()),0)),"X","")</f>
        <v>X</v>
      </c>
      <c r="J4" s="19" t="str">
        <f aca="false">IF(AND($A4&lt;&gt;"",J$1&lt;&gt;"",3&lt;=IFERROR(VLOOKUP(J$1,الحصص!$A:$F,6,FALSE()),0)),"X","")</f>
        <v/>
      </c>
      <c r="K4" s="19" t="str">
        <f aca="false">IF(AND($A4&lt;&gt;"",K$1&lt;&gt;"",3&lt;=IFERROR(VLOOKUP(K$1,الحصص!$A:$F,6,FALSE()),0)),"X","")</f>
        <v/>
      </c>
      <c r="L4" s="19" t="str">
        <f aca="false">IF(AND($A4&lt;&gt;"",L$1&lt;&gt;"",3&lt;=IFERROR(VLOOKUP(L$1,الحصص!$A:$F,6,FALSE()),0)),"X","")</f>
        <v/>
      </c>
      <c r="M4" s="19" t="str">
        <f aca="false">IF(AND($A4&lt;&gt;"",M$1&lt;&gt;"",3&lt;=IFERROR(VLOOKUP(M$1,الحصص!$A:$F,6,FALSE()),0)),"X","")</f>
        <v/>
      </c>
      <c r="N4" s="19" t="str">
        <f aca="false">IF(AND($A4&lt;&gt;"",N$1&lt;&gt;"",3&lt;=IFERROR(VLOOKUP(N$1,الحصص!$A:$F,6,FALSE()),0)),"X","")</f>
        <v/>
      </c>
      <c r="O4" s="19" t="str">
        <f aca="false">IF(AND($A4&lt;&gt;"",O$1&lt;&gt;"",3&lt;=IFERROR(VLOOKUP(O$1,الحصص!$A:$F,6,FALSE()),0)),"X","")</f>
        <v/>
      </c>
      <c r="P4" s="19" t="str">
        <f aca="false">IF(AND($A4&lt;&gt;"",P$1&lt;&gt;"",3&lt;=IFERROR(VLOOKUP(P$1,الحصص!$A:$F,6,FALSE()),0)),"X","")</f>
        <v/>
      </c>
      <c r="Q4" s="19" t="str">
        <f aca="false">IF(AND($A4&lt;&gt;"",Q$1&lt;&gt;"",3&lt;=IFERROR(VLOOKUP(Q$1,الحصص!$A:$F,6,FALSE()),0)),"X","")</f>
        <v/>
      </c>
      <c r="R4" s="19" t="str">
        <f aca="false">IF(AND($A4&lt;&gt;"",R$1&lt;&gt;"",3&lt;=IFERROR(VLOOKUP(R$1,الحصص!$A:$F,6,FALSE()),0)),"X","")</f>
        <v/>
      </c>
      <c r="S4" s="19" t="str">
        <f aca="false">IF(AND($A4&lt;&gt;"",S$1&lt;&gt;"",3&lt;=IFERROR(VLOOKUP(S$1,الحصص!$A:$F,6,FALSE()),0)),"X","")</f>
        <v/>
      </c>
      <c r="T4" s="19" t="str">
        <f aca="false">IF(AND($A4&lt;&gt;"",T$1&lt;&gt;"",3&lt;=IFERROR(VLOOKUP(T$1,الحصص!$A:$F,6,FALSE()),0)),"X","")</f>
        <v/>
      </c>
      <c r="U4" s="19" t="str">
        <f aca="false">IF(AND($A4&lt;&gt;"",U$1&lt;&gt;"",3&lt;=IFERROR(VLOOKUP(U$1,الحصص!$A:$F,6,FALSE()),0)),"X","")</f>
        <v/>
      </c>
    </row>
    <row r="5" customFormat="false" ht="19.5" hidden="false" customHeight="true" outlineLevel="0" collapsed="false">
      <c r="A5" s="18" t="str">
        <f aca="false">IF(4&lt;=الإعدادات!$C$3,"القاعة "&amp;TEXT(4,"0"),"")</f>
        <v>القاعة 4</v>
      </c>
      <c r="B5" s="20" t="str">
        <f aca="false">IF(AND($A5&lt;&gt;"",B$1&lt;&gt;"",4&lt;=IFERROR(VLOOKUP(B$1,الحصص!$A:$F,6,FALSE()),0)),"X","")</f>
        <v>X</v>
      </c>
      <c r="C5" s="20" t="str">
        <f aca="false">IF(AND($A5&lt;&gt;"",C$1&lt;&gt;"",4&lt;=IFERROR(VLOOKUP(C$1,الحصص!$A:$F,6,FALSE()),0)),"X","")</f>
        <v>X</v>
      </c>
      <c r="D5" s="20" t="str">
        <f aca="false">IF(AND($A5&lt;&gt;"",D$1&lt;&gt;"",4&lt;=IFERROR(VLOOKUP(D$1,الحصص!$A:$F,6,FALSE()),0)),"X","")</f>
        <v>X</v>
      </c>
      <c r="E5" s="20" t="str">
        <f aca="false">IF(AND($A5&lt;&gt;"",E$1&lt;&gt;"",4&lt;=IFERROR(VLOOKUP(E$1,الحصص!$A:$F,6,FALSE()),0)),"X","")</f>
        <v>X</v>
      </c>
      <c r="F5" s="20" t="str">
        <f aca="false">IF(AND($A5&lt;&gt;"",F$1&lt;&gt;"",4&lt;=IFERROR(VLOOKUP(F$1,الحصص!$A:$F,6,FALSE()),0)),"X","")</f>
        <v>X</v>
      </c>
      <c r="G5" s="20" t="str">
        <f aca="false">IF(AND($A5&lt;&gt;"",G$1&lt;&gt;"",4&lt;=IFERROR(VLOOKUP(G$1,الحصص!$A:$F,6,FALSE()),0)),"X","")</f>
        <v>X</v>
      </c>
      <c r="H5" s="20" t="str">
        <f aca="false">IF(AND($A5&lt;&gt;"",H$1&lt;&gt;"",4&lt;=IFERROR(VLOOKUP(H$1,الحصص!$A:$F,6,FALSE()),0)),"X","")</f>
        <v>X</v>
      </c>
      <c r="I5" s="20" t="str">
        <f aca="false">IF(AND($A5&lt;&gt;"",I$1&lt;&gt;"",4&lt;=IFERROR(VLOOKUP(I$1,الحصص!$A:$F,6,FALSE()),0)),"X","")</f>
        <v>X</v>
      </c>
      <c r="J5" s="20" t="str">
        <f aca="false">IF(AND($A5&lt;&gt;"",J$1&lt;&gt;"",4&lt;=IFERROR(VLOOKUP(J$1,الحصص!$A:$F,6,FALSE()),0)),"X","")</f>
        <v/>
      </c>
      <c r="K5" s="20" t="str">
        <f aca="false">IF(AND($A5&lt;&gt;"",K$1&lt;&gt;"",4&lt;=IFERROR(VLOOKUP(K$1,الحصص!$A:$F,6,FALSE()),0)),"X","")</f>
        <v/>
      </c>
      <c r="L5" s="20" t="str">
        <f aca="false">IF(AND($A5&lt;&gt;"",L$1&lt;&gt;"",4&lt;=IFERROR(VLOOKUP(L$1,الحصص!$A:$F,6,FALSE()),0)),"X","")</f>
        <v/>
      </c>
      <c r="M5" s="20" t="str">
        <f aca="false">IF(AND($A5&lt;&gt;"",M$1&lt;&gt;"",4&lt;=IFERROR(VLOOKUP(M$1,الحصص!$A:$F,6,FALSE()),0)),"X","")</f>
        <v/>
      </c>
      <c r="N5" s="20" t="str">
        <f aca="false">IF(AND($A5&lt;&gt;"",N$1&lt;&gt;"",4&lt;=IFERROR(VLOOKUP(N$1,الحصص!$A:$F,6,FALSE()),0)),"X","")</f>
        <v/>
      </c>
      <c r="O5" s="20" t="str">
        <f aca="false">IF(AND($A5&lt;&gt;"",O$1&lt;&gt;"",4&lt;=IFERROR(VLOOKUP(O$1,الحصص!$A:$F,6,FALSE()),0)),"X","")</f>
        <v/>
      </c>
      <c r="P5" s="20" t="str">
        <f aca="false">IF(AND($A5&lt;&gt;"",P$1&lt;&gt;"",4&lt;=IFERROR(VLOOKUP(P$1,الحصص!$A:$F,6,FALSE()),0)),"X","")</f>
        <v/>
      </c>
      <c r="Q5" s="20" t="str">
        <f aca="false">IF(AND($A5&lt;&gt;"",Q$1&lt;&gt;"",4&lt;=IFERROR(VLOOKUP(Q$1,الحصص!$A:$F,6,FALSE()),0)),"X","")</f>
        <v/>
      </c>
      <c r="R5" s="20" t="str">
        <f aca="false">IF(AND($A5&lt;&gt;"",R$1&lt;&gt;"",4&lt;=IFERROR(VLOOKUP(R$1,الحصص!$A:$F,6,FALSE()),0)),"X","")</f>
        <v/>
      </c>
      <c r="S5" s="20" t="str">
        <f aca="false">IF(AND($A5&lt;&gt;"",S$1&lt;&gt;"",4&lt;=IFERROR(VLOOKUP(S$1,الحصص!$A:$F,6,FALSE()),0)),"X","")</f>
        <v/>
      </c>
      <c r="T5" s="20" t="str">
        <f aca="false">IF(AND($A5&lt;&gt;"",T$1&lt;&gt;"",4&lt;=IFERROR(VLOOKUP(T$1,الحصص!$A:$F,6,FALSE()),0)),"X","")</f>
        <v/>
      </c>
      <c r="U5" s="20" t="str">
        <f aca="false">IF(AND($A5&lt;&gt;"",U$1&lt;&gt;"",4&lt;=IFERROR(VLOOKUP(U$1,الحصص!$A:$F,6,FALSE()),0)),"X","")</f>
        <v/>
      </c>
    </row>
    <row r="6" customFormat="false" ht="19.5" hidden="false" customHeight="true" outlineLevel="0" collapsed="false">
      <c r="A6" s="18" t="str">
        <f aca="false">IF(5&lt;=الإعدادات!$C$3,"القاعة "&amp;TEXT(5,"0"),"")</f>
        <v>القاعة 5</v>
      </c>
      <c r="B6" s="19" t="str">
        <f aca="false">IF(AND($A6&lt;&gt;"",B$1&lt;&gt;"",5&lt;=IFERROR(VLOOKUP(B$1,الحصص!$A:$F,6,FALSE()),0)),"X","")</f>
        <v>X</v>
      </c>
      <c r="C6" s="19" t="str">
        <f aca="false">IF(AND($A6&lt;&gt;"",C$1&lt;&gt;"",5&lt;=IFERROR(VLOOKUP(C$1,الحصص!$A:$F,6,FALSE()),0)),"X","")</f>
        <v>X</v>
      </c>
      <c r="D6" s="19" t="str">
        <f aca="false">IF(AND($A6&lt;&gt;"",D$1&lt;&gt;"",5&lt;=IFERROR(VLOOKUP(D$1,الحصص!$A:$F,6,FALSE()),0)),"X","")</f>
        <v>X</v>
      </c>
      <c r="E6" s="19" t="str">
        <f aca="false">IF(AND($A6&lt;&gt;"",E$1&lt;&gt;"",5&lt;=IFERROR(VLOOKUP(E$1,الحصص!$A:$F,6,FALSE()),0)),"X","")</f>
        <v>X</v>
      </c>
      <c r="F6" s="19" t="str">
        <f aca="false">IF(AND($A6&lt;&gt;"",F$1&lt;&gt;"",5&lt;=IFERROR(VLOOKUP(F$1,الحصص!$A:$F,6,FALSE()),0)),"X","")</f>
        <v>X</v>
      </c>
      <c r="G6" s="19" t="str">
        <f aca="false">IF(AND($A6&lt;&gt;"",G$1&lt;&gt;"",5&lt;=IFERROR(VLOOKUP(G$1,الحصص!$A:$F,6,FALSE()),0)),"X","")</f>
        <v>X</v>
      </c>
      <c r="H6" s="19" t="str">
        <f aca="false">IF(AND($A6&lt;&gt;"",H$1&lt;&gt;"",5&lt;=IFERROR(VLOOKUP(H$1,الحصص!$A:$F,6,FALSE()),0)),"X","")</f>
        <v>X</v>
      </c>
      <c r="I6" s="19" t="str">
        <f aca="false">IF(AND($A6&lt;&gt;"",I$1&lt;&gt;"",5&lt;=IFERROR(VLOOKUP(I$1,الحصص!$A:$F,6,FALSE()),0)),"X","")</f>
        <v>X</v>
      </c>
      <c r="J6" s="19" t="str">
        <f aca="false">IF(AND($A6&lt;&gt;"",J$1&lt;&gt;"",5&lt;=IFERROR(VLOOKUP(J$1,الحصص!$A:$F,6,FALSE()),0)),"X","")</f>
        <v/>
      </c>
      <c r="K6" s="19" t="str">
        <f aca="false">IF(AND($A6&lt;&gt;"",K$1&lt;&gt;"",5&lt;=IFERROR(VLOOKUP(K$1,الحصص!$A:$F,6,FALSE()),0)),"X","")</f>
        <v/>
      </c>
      <c r="L6" s="19" t="str">
        <f aca="false">IF(AND($A6&lt;&gt;"",L$1&lt;&gt;"",5&lt;=IFERROR(VLOOKUP(L$1,الحصص!$A:$F,6,FALSE()),0)),"X","")</f>
        <v/>
      </c>
      <c r="M6" s="19" t="str">
        <f aca="false">IF(AND($A6&lt;&gt;"",M$1&lt;&gt;"",5&lt;=IFERROR(VLOOKUP(M$1,الحصص!$A:$F,6,FALSE()),0)),"X","")</f>
        <v/>
      </c>
      <c r="N6" s="19" t="str">
        <f aca="false">IF(AND($A6&lt;&gt;"",N$1&lt;&gt;"",5&lt;=IFERROR(VLOOKUP(N$1,الحصص!$A:$F,6,FALSE()),0)),"X","")</f>
        <v/>
      </c>
      <c r="O6" s="19" t="str">
        <f aca="false">IF(AND($A6&lt;&gt;"",O$1&lt;&gt;"",5&lt;=IFERROR(VLOOKUP(O$1,الحصص!$A:$F,6,FALSE()),0)),"X","")</f>
        <v/>
      </c>
      <c r="P6" s="19" t="str">
        <f aca="false">IF(AND($A6&lt;&gt;"",P$1&lt;&gt;"",5&lt;=IFERROR(VLOOKUP(P$1,الحصص!$A:$F,6,FALSE()),0)),"X","")</f>
        <v/>
      </c>
      <c r="Q6" s="19" t="str">
        <f aca="false">IF(AND($A6&lt;&gt;"",Q$1&lt;&gt;"",5&lt;=IFERROR(VLOOKUP(Q$1,الحصص!$A:$F,6,FALSE()),0)),"X","")</f>
        <v/>
      </c>
      <c r="R6" s="19" t="str">
        <f aca="false">IF(AND($A6&lt;&gt;"",R$1&lt;&gt;"",5&lt;=IFERROR(VLOOKUP(R$1,الحصص!$A:$F,6,FALSE()),0)),"X","")</f>
        <v/>
      </c>
      <c r="S6" s="19" t="str">
        <f aca="false">IF(AND($A6&lt;&gt;"",S$1&lt;&gt;"",5&lt;=IFERROR(VLOOKUP(S$1,الحصص!$A:$F,6,FALSE()),0)),"X","")</f>
        <v/>
      </c>
      <c r="T6" s="19" t="str">
        <f aca="false">IF(AND($A6&lt;&gt;"",T$1&lt;&gt;"",5&lt;=IFERROR(VLOOKUP(T$1,الحصص!$A:$F,6,FALSE()),0)),"X","")</f>
        <v/>
      </c>
      <c r="U6" s="19" t="str">
        <f aca="false">IF(AND($A6&lt;&gt;"",U$1&lt;&gt;"",5&lt;=IFERROR(VLOOKUP(U$1,الحصص!$A:$F,6,FALSE()),0)),"X","")</f>
        <v/>
      </c>
    </row>
    <row r="7" customFormat="false" ht="19.5" hidden="false" customHeight="true" outlineLevel="0" collapsed="false">
      <c r="A7" s="18" t="str">
        <f aca="false">IF(6&lt;=الإعدادات!$C$3,"القاعة "&amp;TEXT(6,"0"),"")</f>
        <v>القاعة 6</v>
      </c>
      <c r="B7" s="20" t="str">
        <f aca="false">IF(AND($A7&lt;&gt;"",B$1&lt;&gt;"",6&lt;=IFERROR(VLOOKUP(B$1,الحصص!$A:$F,6,FALSE()),0)),"X","")</f>
        <v>X</v>
      </c>
      <c r="C7" s="20" t="str">
        <f aca="false">IF(AND($A7&lt;&gt;"",C$1&lt;&gt;"",6&lt;=IFERROR(VLOOKUP(C$1,الحصص!$A:$F,6,FALSE()),0)),"X","")</f>
        <v>X</v>
      </c>
      <c r="D7" s="20" t="str">
        <f aca="false">IF(AND($A7&lt;&gt;"",D$1&lt;&gt;"",6&lt;=IFERROR(VLOOKUP(D$1,الحصص!$A:$F,6,FALSE()),0)),"X","")</f>
        <v>X</v>
      </c>
      <c r="E7" s="20" t="str">
        <f aca="false">IF(AND($A7&lt;&gt;"",E$1&lt;&gt;"",6&lt;=IFERROR(VLOOKUP(E$1,الحصص!$A:$F,6,FALSE()),0)),"X","")</f>
        <v>X</v>
      </c>
      <c r="F7" s="20" t="str">
        <f aca="false">IF(AND($A7&lt;&gt;"",F$1&lt;&gt;"",6&lt;=IFERROR(VLOOKUP(F$1,الحصص!$A:$F,6,FALSE()),0)),"X","")</f>
        <v>X</v>
      </c>
      <c r="G7" s="20" t="str">
        <f aca="false">IF(AND($A7&lt;&gt;"",G$1&lt;&gt;"",6&lt;=IFERROR(VLOOKUP(G$1,الحصص!$A:$F,6,FALSE()),0)),"X","")</f>
        <v>X</v>
      </c>
      <c r="H7" s="20" t="str">
        <f aca="false">IF(AND($A7&lt;&gt;"",H$1&lt;&gt;"",6&lt;=IFERROR(VLOOKUP(H$1,الحصص!$A:$F,6,FALSE()),0)),"X","")</f>
        <v>X</v>
      </c>
      <c r="I7" s="20" t="str">
        <f aca="false">IF(AND($A7&lt;&gt;"",I$1&lt;&gt;"",6&lt;=IFERROR(VLOOKUP(I$1,الحصص!$A:$F,6,FALSE()),0)),"X","")</f>
        <v>X</v>
      </c>
      <c r="J7" s="20" t="str">
        <f aca="false">IF(AND($A7&lt;&gt;"",J$1&lt;&gt;"",6&lt;=IFERROR(VLOOKUP(J$1,الحصص!$A:$F,6,FALSE()),0)),"X","")</f>
        <v/>
      </c>
      <c r="K7" s="20" t="str">
        <f aca="false">IF(AND($A7&lt;&gt;"",K$1&lt;&gt;"",6&lt;=IFERROR(VLOOKUP(K$1,الحصص!$A:$F,6,FALSE()),0)),"X","")</f>
        <v/>
      </c>
      <c r="L7" s="20" t="str">
        <f aca="false">IF(AND($A7&lt;&gt;"",L$1&lt;&gt;"",6&lt;=IFERROR(VLOOKUP(L$1,الحصص!$A:$F,6,FALSE()),0)),"X","")</f>
        <v/>
      </c>
      <c r="M7" s="20" t="str">
        <f aca="false">IF(AND($A7&lt;&gt;"",M$1&lt;&gt;"",6&lt;=IFERROR(VLOOKUP(M$1,الحصص!$A:$F,6,FALSE()),0)),"X","")</f>
        <v/>
      </c>
      <c r="N7" s="20" t="str">
        <f aca="false">IF(AND($A7&lt;&gt;"",N$1&lt;&gt;"",6&lt;=IFERROR(VLOOKUP(N$1,الحصص!$A:$F,6,FALSE()),0)),"X","")</f>
        <v/>
      </c>
      <c r="O7" s="20" t="str">
        <f aca="false">IF(AND($A7&lt;&gt;"",O$1&lt;&gt;"",6&lt;=IFERROR(VLOOKUP(O$1,الحصص!$A:$F,6,FALSE()),0)),"X","")</f>
        <v/>
      </c>
      <c r="P7" s="20" t="str">
        <f aca="false">IF(AND($A7&lt;&gt;"",P$1&lt;&gt;"",6&lt;=IFERROR(VLOOKUP(P$1,الحصص!$A:$F,6,FALSE()),0)),"X","")</f>
        <v/>
      </c>
      <c r="Q7" s="20" t="str">
        <f aca="false">IF(AND($A7&lt;&gt;"",Q$1&lt;&gt;"",6&lt;=IFERROR(VLOOKUP(Q$1,الحصص!$A:$F,6,FALSE()),0)),"X","")</f>
        <v/>
      </c>
      <c r="R7" s="20" t="str">
        <f aca="false">IF(AND($A7&lt;&gt;"",R$1&lt;&gt;"",6&lt;=IFERROR(VLOOKUP(R$1,الحصص!$A:$F,6,FALSE()),0)),"X","")</f>
        <v/>
      </c>
      <c r="S7" s="20" t="str">
        <f aca="false">IF(AND($A7&lt;&gt;"",S$1&lt;&gt;"",6&lt;=IFERROR(VLOOKUP(S$1,الحصص!$A:$F,6,FALSE()),0)),"X","")</f>
        <v/>
      </c>
      <c r="T7" s="20" t="str">
        <f aca="false">IF(AND($A7&lt;&gt;"",T$1&lt;&gt;"",6&lt;=IFERROR(VLOOKUP(T$1,الحصص!$A:$F,6,FALSE()),0)),"X","")</f>
        <v/>
      </c>
      <c r="U7" s="20" t="str">
        <f aca="false">IF(AND($A7&lt;&gt;"",U$1&lt;&gt;"",6&lt;=IFERROR(VLOOKUP(U$1,الحصص!$A:$F,6,FALSE()),0)),"X","")</f>
        <v/>
      </c>
    </row>
    <row r="8" customFormat="false" ht="19.5" hidden="false" customHeight="true" outlineLevel="0" collapsed="false">
      <c r="A8" s="18" t="str">
        <f aca="false">IF(7&lt;=الإعدادات!$C$3,"القاعة "&amp;TEXT(7,"0"),"")</f>
        <v>القاعة 7</v>
      </c>
      <c r="B8" s="19" t="str">
        <f aca="false">IF(AND($A8&lt;&gt;"",B$1&lt;&gt;"",7&lt;=IFERROR(VLOOKUP(B$1,الحصص!$A:$F,6,FALSE()),0)),"X","")</f>
        <v>X</v>
      </c>
      <c r="C8" s="19" t="str">
        <f aca="false">IF(AND($A8&lt;&gt;"",C$1&lt;&gt;"",7&lt;=IFERROR(VLOOKUP(C$1,الحصص!$A:$F,6,FALSE()),0)),"X","")</f>
        <v>X</v>
      </c>
      <c r="D8" s="19" t="str">
        <f aca="false">IF(AND($A8&lt;&gt;"",D$1&lt;&gt;"",7&lt;=IFERROR(VLOOKUP(D$1,الحصص!$A:$F,6,FALSE()),0)),"X","")</f>
        <v>X</v>
      </c>
      <c r="E8" s="19" t="str">
        <f aca="false">IF(AND($A8&lt;&gt;"",E$1&lt;&gt;"",7&lt;=IFERROR(VLOOKUP(E$1,الحصص!$A:$F,6,FALSE()),0)),"X","")</f>
        <v>X</v>
      </c>
      <c r="F8" s="19" t="str">
        <f aca="false">IF(AND($A8&lt;&gt;"",F$1&lt;&gt;"",7&lt;=IFERROR(VLOOKUP(F$1,الحصص!$A:$F,6,FALSE()),0)),"X","")</f>
        <v>X</v>
      </c>
      <c r="G8" s="19" t="str">
        <f aca="false">IF(AND($A8&lt;&gt;"",G$1&lt;&gt;"",7&lt;=IFERROR(VLOOKUP(G$1,الحصص!$A:$F,6,FALSE()),0)),"X","")</f>
        <v>X</v>
      </c>
      <c r="H8" s="19" t="str">
        <f aca="false">IF(AND($A8&lt;&gt;"",H$1&lt;&gt;"",7&lt;=IFERROR(VLOOKUP(H$1,الحصص!$A:$F,6,FALSE()),0)),"X","")</f>
        <v>X</v>
      </c>
      <c r="I8" s="19" t="str">
        <f aca="false">IF(AND($A8&lt;&gt;"",I$1&lt;&gt;"",7&lt;=IFERROR(VLOOKUP(I$1,الحصص!$A:$F,6,FALSE()),0)),"X","")</f>
        <v>X</v>
      </c>
      <c r="J8" s="19" t="str">
        <f aca="false">IF(AND($A8&lt;&gt;"",J$1&lt;&gt;"",7&lt;=IFERROR(VLOOKUP(J$1,الحصص!$A:$F,6,FALSE()),0)),"X","")</f>
        <v/>
      </c>
      <c r="K8" s="19" t="str">
        <f aca="false">IF(AND($A8&lt;&gt;"",K$1&lt;&gt;"",7&lt;=IFERROR(VLOOKUP(K$1,الحصص!$A:$F,6,FALSE()),0)),"X","")</f>
        <v/>
      </c>
      <c r="L8" s="19" t="str">
        <f aca="false">IF(AND($A8&lt;&gt;"",L$1&lt;&gt;"",7&lt;=IFERROR(VLOOKUP(L$1,الحصص!$A:$F,6,FALSE()),0)),"X","")</f>
        <v/>
      </c>
      <c r="M8" s="19" t="str">
        <f aca="false">IF(AND($A8&lt;&gt;"",M$1&lt;&gt;"",7&lt;=IFERROR(VLOOKUP(M$1,الحصص!$A:$F,6,FALSE()),0)),"X","")</f>
        <v/>
      </c>
      <c r="N8" s="19" t="str">
        <f aca="false">IF(AND($A8&lt;&gt;"",N$1&lt;&gt;"",7&lt;=IFERROR(VLOOKUP(N$1,الحصص!$A:$F,6,FALSE()),0)),"X","")</f>
        <v/>
      </c>
      <c r="O8" s="19" t="str">
        <f aca="false">IF(AND($A8&lt;&gt;"",O$1&lt;&gt;"",7&lt;=IFERROR(VLOOKUP(O$1,الحصص!$A:$F,6,FALSE()),0)),"X","")</f>
        <v/>
      </c>
      <c r="P8" s="19" t="str">
        <f aca="false">IF(AND($A8&lt;&gt;"",P$1&lt;&gt;"",7&lt;=IFERROR(VLOOKUP(P$1,الحصص!$A:$F,6,FALSE()),0)),"X","")</f>
        <v/>
      </c>
      <c r="Q8" s="19" t="str">
        <f aca="false">IF(AND($A8&lt;&gt;"",Q$1&lt;&gt;"",7&lt;=IFERROR(VLOOKUP(Q$1,الحصص!$A:$F,6,FALSE()),0)),"X","")</f>
        <v/>
      </c>
      <c r="R8" s="19" t="str">
        <f aca="false">IF(AND($A8&lt;&gt;"",R$1&lt;&gt;"",7&lt;=IFERROR(VLOOKUP(R$1,الحصص!$A:$F,6,FALSE()),0)),"X","")</f>
        <v/>
      </c>
      <c r="S8" s="19" t="str">
        <f aca="false">IF(AND($A8&lt;&gt;"",S$1&lt;&gt;"",7&lt;=IFERROR(VLOOKUP(S$1,الحصص!$A:$F,6,FALSE()),0)),"X","")</f>
        <v/>
      </c>
      <c r="T8" s="19" t="str">
        <f aca="false">IF(AND($A8&lt;&gt;"",T$1&lt;&gt;"",7&lt;=IFERROR(VLOOKUP(T$1,الحصص!$A:$F,6,FALSE()),0)),"X","")</f>
        <v/>
      </c>
      <c r="U8" s="19" t="str">
        <f aca="false">IF(AND($A8&lt;&gt;"",U$1&lt;&gt;"",7&lt;=IFERROR(VLOOKUP(U$1,الحصص!$A:$F,6,FALSE()),0)),"X","")</f>
        <v/>
      </c>
    </row>
    <row r="9" customFormat="false" ht="19.5" hidden="false" customHeight="true" outlineLevel="0" collapsed="false">
      <c r="A9" s="18" t="str">
        <f aca="false">IF(8&lt;=الإعدادات!$C$3,"القاعة "&amp;TEXT(8,"0"),"")</f>
        <v>القاعة 8</v>
      </c>
      <c r="B9" s="20" t="str">
        <f aca="false">IF(AND($A9&lt;&gt;"",B$1&lt;&gt;"",8&lt;=IFERROR(VLOOKUP(B$1,الحصص!$A:$F,6,FALSE()),0)),"X","")</f>
        <v>X</v>
      </c>
      <c r="C9" s="20" t="str">
        <f aca="false">IF(AND($A9&lt;&gt;"",C$1&lt;&gt;"",8&lt;=IFERROR(VLOOKUP(C$1,الحصص!$A:$F,6,FALSE()),0)),"X","")</f>
        <v>X</v>
      </c>
      <c r="D9" s="20" t="str">
        <f aca="false">IF(AND($A9&lt;&gt;"",D$1&lt;&gt;"",8&lt;=IFERROR(VLOOKUP(D$1,الحصص!$A:$F,6,FALSE()),0)),"X","")</f>
        <v>X</v>
      </c>
      <c r="E9" s="20" t="str">
        <f aca="false">IF(AND($A9&lt;&gt;"",E$1&lt;&gt;"",8&lt;=IFERROR(VLOOKUP(E$1,الحصص!$A:$F,6,FALSE()),0)),"X","")</f>
        <v>X</v>
      </c>
      <c r="F9" s="20" t="str">
        <f aca="false">IF(AND($A9&lt;&gt;"",F$1&lt;&gt;"",8&lt;=IFERROR(VLOOKUP(F$1,الحصص!$A:$F,6,FALSE()),0)),"X","")</f>
        <v>X</v>
      </c>
      <c r="G9" s="20" t="str">
        <f aca="false">IF(AND($A9&lt;&gt;"",G$1&lt;&gt;"",8&lt;=IFERROR(VLOOKUP(G$1,الحصص!$A:$F,6,FALSE()),0)),"X","")</f>
        <v>X</v>
      </c>
      <c r="H9" s="20" t="str">
        <f aca="false">IF(AND($A9&lt;&gt;"",H$1&lt;&gt;"",8&lt;=IFERROR(VLOOKUP(H$1,الحصص!$A:$F,6,FALSE()),0)),"X","")</f>
        <v>X</v>
      </c>
      <c r="I9" s="20" t="str">
        <f aca="false">IF(AND($A9&lt;&gt;"",I$1&lt;&gt;"",8&lt;=IFERROR(VLOOKUP(I$1,الحصص!$A:$F,6,FALSE()),0)),"X","")</f>
        <v>X</v>
      </c>
      <c r="J9" s="20" t="str">
        <f aca="false">IF(AND($A9&lt;&gt;"",J$1&lt;&gt;"",8&lt;=IFERROR(VLOOKUP(J$1,الحصص!$A:$F,6,FALSE()),0)),"X","")</f>
        <v/>
      </c>
      <c r="K9" s="20" t="str">
        <f aca="false">IF(AND($A9&lt;&gt;"",K$1&lt;&gt;"",8&lt;=IFERROR(VLOOKUP(K$1,الحصص!$A:$F,6,FALSE()),0)),"X","")</f>
        <v/>
      </c>
      <c r="L9" s="20" t="str">
        <f aca="false">IF(AND($A9&lt;&gt;"",L$1&lt;&gt;"",8&lt;=IFERROR(VLOOKUP(L$1,الحصص!$A:$F,6,FALSE()),0)),"X","")</f>
        <v/>
      </c>
      <c r="M9" s="20" t="str">
        <f aca="false">IF(AND($A9&lt;&gt;"",M$1&lt;&gt;"",8&lt;=IFERROR(VLOOKUP(M$1,الحصص!$A:$F,6,FALSE()),0)),"X","")</f>
        <v/>
      </c>
      <c r="N9" s="20" t="str">
        <f aca="false">IF(AND($A9&lt;&gt;"",N$1&lt;&gt;"",8&lt;=IFERROR(VLOOKUP(N$1,الحصص!$A:$F,6,FALSE()),0)),"X","")</f>
        <v/>
      </c>
      <c r="O9" s="20" t="str">
        <f aca="false">IF(AND($A9&lt;&gt;"",O$1&lt;&gt;"",8&lt;=IFERROR(VLOOKUP(O$1,الحصص!$A:$F,6,FALSE()),0)),"X","")</f>
        <v/>
      </c>
      <c r="P9" s="20" t="str">
        <f aca="false">IF(AND($A9&lt;&gt;"",P$1&lt;&gt;"",8&lt;=IFERROR(VLOOKUP(P$1,الحصص!$A:$F,6,FALSE()),0)),"X","")</f>
        <v/>
      </c>
      <c r="Q9" s="20" t="str">
        <f aca="false">IF(AND($A9&lt;&gt;"",Q$1&lt;&gt;"",8&lt;=IFERROR(VLOOKUP(Q$1,الحصص!$A:$F,6,FALSE()),0)),"X","")</f>
        <v/>
      </c>
      <c r="R9" s="20" t="str">
        <f aca="false">IF(AND($A9&lt;&gt;"",R$1&lt;&gt;"",8&lt;=IFERROR(VLOOKUP(R$1,الحصص!$A:$F,6,FALSE()),0)),"X","")</f>
        <v/>
      </c>
      <c r="S9" s="20" t="str">
        <f aca="false">IF(AND($A9&lt;&gt;"",S$1&lt;&gt;"",8&lt;=IFERROR(VLOOKUP(S$1,الحصص!$A:$F,6,FALSE()),0)),"X","")</f>
        <v/>
      </c>
      <c r="T9" s="20" t="str">
        <f aca="false">IF(AND($A9&lt;&gt;"",T$1&lt;&gt;"",8&lt;=IFERROR(VLOOKUP(T$1,الحصص!$A:$F,6,FALSE()),0)),"X","")</f>
        <v/>
      </c>
      <c r="U9" s="20" t="str">
        <f aca="false">IF(AND($A9&lt;&gt;"",U$1&lt;&gt;"",8&lt;=IFERROR(VLOOKUP(U$1,الحصص!$A:$F,6,FALSE()),0)),"X","")</f>
        <v/>
      </c>
    </row>
    <row r="10" customFormat="false" ht="19.5" hidden="false" customHeight="true" outlineLevel="0" collapsed="false">
      <c r="A10" s="18" t="str">
        <f aca="false">IF(9&lt;=الإعدادات!$C$3,"القاعة "&amp;TEXT(9,"0"),"")</f>
        <v>القاعة 9</v>
      </c>
      <c r="B10" s="19" t="str">
        <f aca="false">IF(AND($A10&lt;&gt;"",B$1&lt;&gt;"",9&lt;=IFERROR(VLOOKUP(B$1,الحصص!$A:$F,6,FALSE()),0)),"X","")</f>
        <v>X</v>
      </c>
      <c r="C10" s="19" t="str">
        <f aca="false">IF(AND($A10&lt;&gt;"",C$1&lt;&gt;"",9&lt;=IFERROR(VLOOKUP(C$1,الحصص!$A:$F,6,FALSE()),0)),"X","")</f>
        <v>X</v>
      </c>
      <c r="D10" s="19" t="str">
        <f aca="false">IF(AND($A10&lt;&gt;"",D$1&lt;&gt;"",9&lt;=IFERROR(VLOOKUP(D$1,الحصص!$A:$F,6,FALSE()),0)),"X","")</f>
        <v>X</v>
      </c>
      <c r="E10" s="19" t="str">
        <f aca="false">IF(AND($A10&lt;&gt;"",E$1&lt;&gt;"",9&lt;=IFERROR(VLOOKUP(E$1,الحصص!$A:$F,6,FALSE()),0)),"X","")</f>
        <v>X</v>
      </c>
      <c r="F10" s="19" t="str">
        <f aca="false">IF(AND($A10&lt;&gt;"",F$1&lt;&gt;"",9&lt;=IFERROR(VLOOKUP(F$1,الحصص!$A:$F,6,FALSE()),0)),"X","")</f>
        <v>X</v>
      </c>
      <c r="G10" s="19" t="str">
        <f aca="false">IF(AND($A10&lt;&gt;"",G$1&lt;&gt;"",9&lt;=IFERROR(VLOOKUP(G$1,الحصص!$A:$F,6,FALSE()),0)),"X","")</f>
        <v>X</v>
      </c>
      <c r="H10" s="19" t="str">
        <f aca="false">IF(AND($A10&lt;&gt;"",H$1&lt;&gt;"",9&lt;=IFERROR(VLOOKUP(H$1,الحصص!$A:$F,6,FALSE()),0)),"X","")</f>
        <v>X</v>
      </c>
      <c r="I10" s="19" t="str">
        <f aca="false">IF(AND($A10&lt;&gt;"",I$1&lt;&gt;"",9&lt;=IFERROR(VLOOKUP(I$1,الحصص!$A:$F,6,FALSE()),0)),"X","")</f>
        <v>X</v>
      </c>
      <c r="J10" s="19" t="str">
        <f aca="false">IF(AND($A10&lt;&gt;"",J$1&lt;&gt;"",9&lt;=IFERROR(VLOOKUP(J$1,الحصص!$A:$F,6,FALSE()),0)),"X","")</f>
        <v/>
      </c>
      <c r="K10" s="19" t="str">
        <f aca="false">IF(AND($A10&lt;&gt;"",K$1&lt;&gt;"",9&lt;=IFERROR(VLOOKUP(K$1,الحصص!$A:$F,6,FALSE()),0)),"X","")</f>
        <v/>
      </c>
      <c r="L10" s="19" t="str">
        <f aca="false">IF(AND($A10&lt;&gt;"",L$1&lt;&gt;"",9&lt;=IFERROR(VLOOKUP(L$1,الحصص!$A:$F,6,FALSE()),0)),"X","")</f>
        <v/>
      </c>
      <c r="M10" s="19" t="str">
        <f aca="false">IF(AND($A10&lt;&gt;"",M$1&lt;&gt;"",9&lt;=IFERROR(VLOOKUP(M$1,الحصص!$A:$F,6,FALSE()),0)),"X","")</f>
        <v/>
      </c>
      <c r="N10" s="19" t="str">
        <f aca="false">IF(AND($A10&lt;&gt;"",N$1&lt;&gt;"",9&lt;=IFERROR(VLOOKUP(N$1,الحصص!$A:$F,6,FALSE()),0)),"X","")</f>
        <v/>
      </c>
      <c r="O10" s="19" t="str">
        <f aca="false">IF(AND($A10&lt;&gt;"",O$1&lt;&gt;"",9&lt;=IFERROR(VLOOKUP(O$1,الحصص!$A:$F,6,FALSE()),0)),"X","")</f>
        <v/>
      </c>
      <c r="P10" s="19" t="str">
        <f aca="false">IF(AND($A10&lt;&gt;"",P$1&lt;&gt;"",9&lt;=IFERROR(VLOOKUP(P$1,الحصص!$A:$F,6,FALSE()),0)),"X","")</f>
        <v/>
      </c>
      <c r="Q10" s="19" t="str">
        <f aca="false">IF(AND($A10&lt;&gt;"",Q$1&lt;&gt;"",9&lt;=IFERROR(VLOOKUP(Q$1,الحصص!$A:$F,6,FALSE()),0)),"X","")</f>
        <v/>
      </c>
      <c r="R10" s="19" t="str">
        <f aca="false">IF(AND($A10&lt;&gt;"",R$1&lt;&gt;"",9&lt;=IFERROR(VLOOKUP(R$1,الحصص!$A:$F,6,FALSE()),0)),"X","")</f>
        <v/>
      </c>
      <c r="S10" s="19" t="str">
        <f aca="false">IF(AND($A10&lt;&gt;"",S$1&lt;&gt;"",9&lt;=IFERROR(VLOOKUP(S$1,الحصص!$A:$F,6,FALSE()),0)),"X","")</f>
        <v/>
      </c>
      <c r="T10" s="19" t="str">
        <f aca="false">IF(AND($A10&lt;&gt;"",T$1&lt;&gt;"",9&lt;=IFERROR(VLOOKUP(T$1,الحصص!$A:$F,6,FALSE()),0)),"X","")</f>
        <v/>
      </c>
      <c r="U10" s="19" t="str">
        <f aca="false">IF(AND($A10&lt;&gt;"",U$1&lt;&gt;"",9&lt;=IFERROR(VLOOKUP(U$1,الحصص!$A:$F,6,FALSE()),0)),"X","")</f>
        <v/>
      </c>
    </row>
    <row r="11" customFormat="false" ht="19.5" hidden="false" customHeight="true" outlineLevel="0" collapsed="false">
      <c r="A11" s="18" t="str">
        <f aca="false">IF(10&lt;=الإعدادات!$C$3,"القاعة "&amp;TEXT(10,"0"),"")</f>
        <v>القاعة 10</v>
      </c>
      <c r="B11" s="20" t="str">
        <f aca="false">IF(AND($A11&lt;&gt;"",B$1&lt;&gt;"",10&lt;=IFERROR(VLOOKUP(B$1,الحصص!$A:$F,6,FALSE()),0)),"X","")</f>
        <v/>
      </c>
      <c r="C11" s="20" t="str">
        <f aca="false">IF(AND($A11&lt;&gt;"",C$1&lt;&gt;"",10&lt;=IFERROR(VLOOKUP(C$1,الحصص!$A:$F,6,FALSE()),0)),"X","")</f>
        <v>X</v>
      </c>
      <c r="D11" s="20" t="str">
        <f aca="false">IF(AND($A11&lt;&gt;"",D$1&lt;&gt;"",10&lt;=IFERROR(VLOOKUP(D$1,الحصص!$A:$F,6,FALSE()),0)),"X","")</f>
        <v/>
      </c>
      <c r="E11" s="20" t="str">
        <f aca="false">IF(AND($A11&lt;&gt;"",E$1&lt;&gt;"",10&lt;=IFERROR(VLOOKUP(E$1,الحصص!$A:$F,6,FALSE()),0)),"X","")</f>
        <v>X</v>
      </c>
      <c r="F11" s="20" t="str">
        <f aca="false">IF(AND($A11&lt;&gt;"",F$1&lt;&gt;"",10&lt;=IFERROR(VLOOKUP(F$1,الحصص!$A:$F,6,FALSE()),0)),"X","")</f>
        <v>X</v>
      </c>
      <c r="G11" s="20" t="str">
        <f aca="false">IF(AND($A11&lt;&gt;"",G$1&lt;&gt;"",10&lt;=IFERROR(VLOOKUP(G$1,الحصص!$A:$F,6,FALSE()),0)),"X","")</f>
        <v>X</v>
      </c>
      <c r="H11" s="20" t="str">
        <f aca="false">IF(AND($A11&lt;&gt;"",H$1&lt;&gt;"",10&lt;=IFERROR(VLOOKUP(H$1,الحصص!$A:$F,6,FALSE()),0)),"X","")</f>
        <v>X</v>
      </c>
      <c r="I11" s="20" t="str">
        <f aca="false">IF(AND($A11&lt;&gt;"",I$1&lt;&gt;"",10&lt;=IFERROR(VLOOKUP(I$1,الحصص!$A:$F,6,FALSE()),0)),"X","")</f>
        <v/>
      </c>
      <c r="J11" s="20" t="str">
        <f aca="false">IF(AND($A11&lt;&gt;"",J$1&lt;&gt;"",10&lt;=IFERROR(VLOOKUP(J$1,الحصص!$A:$F,6,FALSE()),0)),"X","")</f>
        <v/>
      </c>
      <c r="K11" s="20" t="str">
        <f aca="false">IF(AND($A11&lt;&gt;"",K$1&lt;&gt;"",10&lt;=IFERROR(VLOOKUP(K$1,الحصص!$A:$F,6,FALSE()),0)),"X","")</f>
        <v/>
      </c>
      <c r="L11" s="20" t="str">
        <f aca="false">IF(AND($A11&lt;&gt;"",L$1&lt;&gt;"",10&lt;=IFERROR(VLOOKUP(L$1,الحصص!$A:$F,6,FALSE()),0)),"X","")</f>
        <v/>
      </c>
      <c r="M11" s="20" t="str">
        <f aca="false">IF(AND($A11&lt;&gt;"",M$1&lt;&gt;"",10&lt;=IFERROR(VLOOKUP(M$1,الحصص!$A:$F,6,FALSE()),0)),"X","")</f>
        <v/>
      </c>
      <c r="N11" s="20" t="str">
        <f aca="false">IF(AND($A11&lt;&gt;"",N$1&lt;&gt;"",10&lt;=IFERROR(VLOOKUP(N$1,الحصص!$A:$F,6,FALSE()),0)),"X","")</f>
        <v/>
      </c>
      <c r="O11" s="20" t="str">
        <f aca="false">IF(AND($A11&lt;&gt;"",O$1&lt;&gt;"",10&lt;=IFERROR(VLOOKUP(O$1,الحصص!$A:$F,6,FALSE()),0)),"X","")</f>
        <v/>
      </c>
      <c r="P11" s="20" t="str">
        <f aca="false">IF(AND($A11&lt;&gt;"",P$1&lt;&gt;"",10&lt;=IFERROR(VLOOKUP(P$1,الحصص!$A:$F,6,FALSE()),0)),"X","")</f>
        <v/>
      </c>
      <c r="Q11" s="20" t="str">
        <f aca="false">IF(AND($A11&lt;&gt;"",Q$1&lt;&gt;"",10&lt;=IFERROR(VLOOKUP(Q$1,الحصص!$A:$F,6,FALSE()),0)),"X","")</f>
        <v/>
      </c>
      <c r="R11" s="20" t="str">
        <f aca="false">IF(AND($A11&lt;&gt;"",R$1&lt;&gt;"",10&lt;=IFERROR(VLOOKUP(R$1,الحصص!$A:$F,6,FALSE()),0)),"X","")</f>
        <v/>
      </c>
      <c r="S11" s="20" t="str">
        <f aca="false">IF(AND($A11&lt;&gt;"",S$1&lt;&gt;"",10&lt;=IFERROR(VLOOKUP(S$1,الحصص!$A:$F,6,FALSE()),0)),"X","")</f>
        <v/>
      </c>
      <c r="T11" s="20" t="str">
        <f aca="false">IF(AND($A11&lt;&gt;"",T$1&lt;&gt;"",10&lt;=IFERROR(VLOOKUP(T$1,الحصص!$A:$F,6,FALSE()),0)),"X","")</f>
        <v/>
      </c>
      <c r="U11" s="20" t="str">
        <f aca="false">IF(AND($A11&lt;&gt;"",U$1&lt;&gt;"",10&lt;=IFERROR(VLOOKUP(U$1,الحصص!$A:$F,6,FALSE()),0)),"X","")</f>
        <v/>
      </c>
    </row>
    <row r="12" customFormat="false" ht="19.5" hidden="false" customHeight="true" outlineLevel="0" collapsed="false">
      <c r="A12" s="18" t="str">
        <f aca="false">IF(11&lt;=الإعدادات!$C$3,"القاعة "&amp;TEXT(11,"0"),"")</f>
        <v>القاعة 11</v>
      </c>
      <c r="B12" s="19" t="str">
        <f aca="false">IF(AND($A12&lt;&gt;"",B$1&lt;&gt;"",11&lt;=IFERROR(VLOOKUP(B$1,الحصص!$A:$F,6,FALSE()),0)),"X","")</f>
        <v/>
      </c>
      <c r="C12" s="19" t="str">
        <f aca="false">IF(AND($A12&lt;&gt;"",C$1&lt;&gt;"",11&lt;=IFERROR(VLOOKUP(C$1,الحصص!$A:$F,6,FALSE()),0)),"X","")</f>
        <v>X</v>
      </c>
      <c r="D12" s="19" t="str">
        <f aca="false">IF(AND($A12&lt;&gt;"",D$1&lt;&gt;"",11&lt;=IFERROR(VLOOKUP(D$1,الحصص!$A:$F,6,FALSE()),0)),"X","")</f>
        <v/>
      </c>
      <c r="E12" s="19" t="str">
        <f aca="false">IF(AND($A12&lt;&gt;"",E$1&lt;&gt;"",11&lt;=IFERROR(VLOOKUP(E$1,الحصص!$A:$F,6,FALSE()),0)),"X","")</f>
        <v>X</v>
      </c>
      <c r="F12" s="19" t="str">
        <f aca="false">IF(AND($A12&lt;&gt;"",F$1&lt;&gt;"",11&lt;=IFERROR(VLOOKUP(F$1,الحصص!$A:$F,6,FALSE()),0)),"X","")</f>
        <v>X</v>
      </c>
      <c r="G12" s="19" t="str">
        <f aca="false">IF(AND($A12&lt;&gt;"",G$1&lt;&gt;"",11&lt;=IFERROR(VLOOKUP(G$1,الحصص!$A:$F,6,FALSE()),0)),"X","")</f>
        <v>X</v>
      </c>
      <c r="H12" s="19" t="str">
        <f aca="false">IF(AND($A12&lt;&gt;"",H$1&lt;&gt;"",11&lt;=IFERROR(VLOOKUP(H$1,الحصص!$A:$F,6,FALSE()),0)),"X","")</f>
        <v>X</v>
      </c>
      <c r="I12" s="19" t="str">
        <f aca="false">IF(AND($A12&lt;&gt;"",I$1&lt;&gt;"",11&lt;=IFERROR(VLOOKUP(I$1,الحصص!$A:$F,6,FALSE()),0)),"X","")</f>
        <v/>
      </c>
      <c r="J12" s="19" t="str">
        <f aca="false">IF(AND($A12&lt;&gt;"",J$1&lt;&gt;"",11&lt;=IFERROR(VLOOKUP(J$1,الحصص!$A:$F,6,FALSE()),0)),"X","")</f>
        <v/>
      </c>
      <c r="K12" s="19" t="str">
        <f aca="false">IF(AND($A12&lt;&gt;"",K$1&lt;&gt;"",11&lt;=IFERROR(VLOOKUP(K$1,الحصص!$A:$F,6,FALSE()),0)),"X","")</f>
        <v/>
      </c>
      <c r="L12" s="19" t="str">
        <f aca="false">IF(AND($A12&lt;&gt;"",L$1&lt;&gt;"",11&lt;=IFERROR(VLOOKUP(L$1,الحصص!$A:$F,6,FALSE()),0)),"X","")</f>
        <v/>
      </c>
      <c r="M12" s="19" t="str">
        <f aca="false">IF(AND($A12&lt;&gt;"",M$1&lt;&gt;"",11&lt;=IFERROR(VLOOKUP(M$1,الحصص!$A:$F,6,FALSE()),0)),"X","")</f>
        <v/>
      </c>
      <c r="N12" s="19" t="str">
        <f aca="false">IF(AND($A12&lt;&gt;"",N$1&lt;&gt;"",11&lt;=IFERROR(VLOOKUP(N$1,الحصص!$A:$F,6,FALSE()),0)),"X","")</f>
        <v/>
      </c>
      <c r="O12" s="19" t="str">
        <f aca="false">IF(AND($A12&lt;&gt;"",O$1&lt;&gt;"",11&lt;=IFERROR(VLOOKUP(O$1,الحصص!$A:$F,6,FALSE()),0)),"X","")</f>
        <v/>
      </c>
      <c r="P12" s="19" t="str">
        <f aca="false">IF(AND($A12&lt;&gt;"",P$1&lt;&gt;"",11&lt;=IFERROR(VLOOKUP(P$1,الحصص!$A:$F,6,FALSE()),0)),"X","")</f>
        <v/>
      </c>
      <c r="Q12" s="19" t="str">
        <f aca="false">IF(AND($A12&lt;&gt;"",Q$1&lt;&gt;"",11&lt;=IFERROR(VLOOKUP(Q$1,الحصص!$A:$F,6,FALSE()),0)),"X","")</f>
        <v/>
      </c>
      <c r="R12" s="19" t="str">
        <f aca="false">IF(AND($A12&lt;&gt;"",R$1&lt;&gt;"",11&lt;=IFERROR(VLOOKUP(R$1,الحصص!$A:$F,6,FALSE()),0)),"X","")</f>
        <v/>
      </c>
      <c r="S12" s="19" t="str">
        <f aca="false">IF(AND($A12&lt;&gt;"",S$1&lt;&gt;"",11&lt;=IFERROR(VLOOKUP(S$1,الحصص!$A:$F,6,FALSE()),0)),"X","")</f>
        <v/>
      </c>
      <c r="T12" s="19" t="str">
        <f aca="false">IF(AND($A12&lt;&gt;"",T$1&lt;&gt;"",11&lt;=IFERROR(VLOOKUP(T$1,الحصص!$A:$F,6,FALSE()),0)),"X","")</f>
        <v/>
      </c>
      <c r="U12" s="19" t="str">
        <f aca="false">IF(AND($A12&lt;&gt;"",U$1&lt;&gt;"",11&lt;=IFERROR(VLOOKUP(U$1,الحصص!$A:$F,6,FALSE()),0)),"X","")</f>
        <v/>
      </c>
    </row>
    <row r="13" customFormat="false" ht="19.5" hidden="false" customHeight="true" outlineLevel="0" collapsed="false">
      <c r="A13" s="18" t="str">
        <f aca="false">IF(12&lt;=الإعدادات!$C$3,"القاعة "&amp;TEXT(12,"0"),"")</f>
        <v>القاعة 12</v>
      </c>
      <c r="B13" s="20" t="str">
        <f aca="false">IF(AND($A13&lt;&gt;"",B$1&lt;&gt;"",12&lt;=IFERROR(VLOOKUP(B$1,الحصص!$A:$F,6,FALSE()),0)),"X","")</f>
        <v/>
      </c>
      <c r="C13" s="20" t="str">
        <f aca="false">IF(AND($A13&lt;&gt;"",C$1&lt;&gt;"",12&lt;=IFERROR(VLOOKUP(C$1,الحصص!$A:$F,6,FALSE()),0)),"X","")</f>
        <v>X</v>
      </c>
      <c r="D13" s="20" t="str">
        <f aca="false">IF(AND($A13&lt;&gt;"",D$1&lt;&gt;"",12&lt;=IFERROR(VLOOKUP(D$1,الحصص!$A:$F,6,FALSE()),0)),"X","")</f>
        <v/>
      </c>
      <c r="E13" s="20" t="str">
        <f aca="false">IF(AND($A13&lt;&gt;"",E$1&lt;&gt;"",12&lt;=IFERROR(VLOOKUP(E$1,الحصص!$A:$F,6,FALSE()),0)),"X","")</f>
        <v>X</v>
      </c>
      <c r="F13" s="20" t="str">
        <f aca="false">IF(AND($A13&lt;&gt;"",F$1&lt;&gt;"",12&lt;=IFERROR(VLOOKUP(F$1,الحصص!$A:$F,6,FALSE()),0)),"X","")</f>
        <v>X</v>
      </c>
      <c r="G13" s="20" t="str">
        <f aca="false">IF(AND($A13&lt;&gt;"",G$1&lt;&gt;"",12&lt;=IFERROR(VLOOKUP(G$1,الحصص!$A:$F,6,FALSE()),0)),"X","")</f>
        <v>X</v>
      </c>
      <c r="H13" s="20" t="str">
        <f aca="false">IF(AND($A13&lt;&gt;"",H$1&lt;&gt;"",12&lt;=IFERROR(VLOOKUP(H$1,الحصص!$A:$F,6,FALSE()),0)),"X","")</f>
        <v>X</v>
      </c>
      <c r="I13" s="20" t="str">
        <f aca="false">IF(AND($A13&lt;&gt;"",I$1&lt;&gt;"",12&lt;=IFERROR(VLOOKUP(I$1,الحصص!$A:$F,6,FALSE()),0)),"X","")</f>
        <v/>
      </c>
      <c r="J13" s="20" t="str">
        <f aca="false">IF(AND($A13&lt;&gt;"",J$1&lt;&gt;"",12&lt;=IFERROR(VLOOKUP(J$1,الحصص!$A:$F,6,FALSE()),0)),"X","")</f>
        <v/>
      </c>
      <c r="K13" s="20" t="str">
        <f aca="false">IF(AND($A13&lt;&gt;"",K$1&lt;&gt;"",12&lt;=IFERROR(VLOOKUP(K$1,الحصص!$A:$F,6,FALSE()),0)),"X","")</f>
        <v/>
      </c>
      <c r="L13" s="20" t="str">
        <f aca="false">IF(AND($A13&lt;&gt;"",L$1&lt;&gt;"",12&lt;=IFERROR(VLOOKUP(L$1,الحصص!$A:$F,6,FALSE()),0)),"X","")</f>
        <v/>
      </c>
      <c r="M13" s="20" t="str">
        <f aca="false">IF(AND($A13&lt;&gt;"",M$1&lt;&gt;"",12&lt;=IFERROR(VLOOKUP(M$1,الحصص!$A:$F,6,FALSE()),0)),"X","")</f>
        <v/>
      </c>
      <c r="N13" s="20" t="str">
        <f aca="false">IF(AND($A13&lt;&gt;"",N$1&lt;&gt;"",12&lt;=IFERROR(VLOOKUP(N$1,الحصص!$A:$F,6,FALSE()),0)),"X","")</f>
        <v/>
      </c>
      <c r="O13" s="20" t="str">
        <f aca="false">IF(AND($A13&lt;&gt;"",O$1&lt;&gt;"",12&lt;=IFERROR(VLOOKUP(O$1,الحصص!$A:$F,6,FALSE()),0)),"X","")</f>
        <v/>
      </c>
      <c r="P13" s="20" t="str">
        <f aca="false">IF(AND($A13&lt;&gt;"",P$1&lt;&gt;"",12&lt;=IFERROR(VLOOKUP(P$1,الحصص!$A:$F,6,FALSE()),0)),"X","")</f>
        <v/>
      </c>
      <c r="Q13" s="20" t="str">
        <f aca="false">IF(AND($A13&lt;&gt;"",Q$1&lt;&gt;"",12&lt;=IFERROR(VLOOKUP(Q$1,الحصص!$A:$F,6,FALSE()),0)),"X","")</f>
        <v/>
      </c>
      <c r="R13" s="20" t="str">
        <f aca="false">IF(AND($A13&lt;&gt;"",R$1&lt;&gt;"",12&lt;=IFERROR(VLOOKUP(R$1,الحصص!$A:$F,6,FALSE()),0)),"X","")</f>
        <v/>
      </c>
      <c r="S13" s="20" t="str">
        <f aca="false">IF(AND($A13&lt;&gt;"",S$1&lt;&gt;"",12&lt;=IFERROR(VLOOKUP(S$1,الحصص!$A:$F,6,FALSE()),0)),"X","")</f>
        <v/>
      </c>
      <c r="T13" s="20" t="str">
        <f aca="false">IF(AND($A13&lt;&gt;"",T$1&lt;&gt;"",12&lt;=IFERROR(VLOOKUP(T$1,الحصص!$A:$F,6,FALSE()),0)),"X","")</f>
        <v/>
      </c>
      <c r="U13" s="20" t="str">
        <f aca="false">IF(AND($A13&lt;&gt;"",U$1&lt;&gt;"",12&lt;=IFERROR(VLOOKUP(U$1,الحصص!$A:$F,6,FALSE()),0)),"X","")</f>
        <v/>
      </c>
    </row>
    <row r="14" customFormat="false" ht="19.5" hidden="false" customHeight="true" outlineLevel="0" collapsed="false">
      <c r="A14" s="18" t="str">
        <f aca="false">IF(13&lt;=الإعدادات!$C$3,"القاعة "&amp;TEXT(13,"0"),"")</f>
        <v>القاعة 13</v>
      </c>
      <c r="B14" s="19" t="str">
        <f aca="false">IF(AND($A14&lt;&gt;"",B$1&lt;&gt;"",13&lt;=IFERROR(VLOOKUP(B$1,الحصص!$A:$F,6,FALSE()),0)),"X","")</f>
        <v/>
      </c>
      <c r="C14" s="19" t="str">
        <f aca="false">IF(AND($A14&lt;&gt;"",C$1&lt;&gt;"",13&lt;=IFERROR(VLOOKUP(C$1,الحصص!$A:$F,6,FALSE()),0)),"X","")</f>
        <v/>
      </c>
      <c r="D14" s="19" t="str">
        <f aca="false">IF(AND($A14&lt;&gt;"",D$1&lt;&gt;"",13&lt;=IFERROR(VLOOKUP(D$1,الحصص!$A:$F,6,FALSE()),0)),"X","")</f>
        <v/>
      </c>
      <c r="E14" s="19" t="str">
        <f aca="false">IF(AND($A14&lt;&gt;"",E$1&lt;&gt;"",13&lt;=IFERROR(VLOOKUP(E$1,الحصص!$A:$F,6,FALSE()),0)),"X","")</f>
        <v>X</v>
      </c>
      <c r="F14" s="19" t="str">
        <f aca="false">IF(AND($A14&lt;&gt;"",F$1&lt;&gt;"",13&lt;=IFERROR(VLOOKUP(F$1,الحصص!$A:$F,6,FALSE()),0)),"X","")</f>
        <v>X</v>
      </c>
      <c r="G14" s="19" t="str">
        <f aca="false">IF(AND($A14&lt;&gt;"",G$1&lt;&gt;"",13&lt;=IFERROR(VLOOKUP(G$1,الحصص!$A:$F,6,FALSE()),0)),"X","")</f>
        <v>X</v>
      </c>
      <c r="H14" s="19" t="str">
        <f aca="false">IF(AND($A14&lt;&gt;"",H$1&lt;&gt;"",13&lt;=IFERROR(VLOOKUP(H$1,الحصص!$A:$F,6,FALSE()),0)),"X","")</f>
        <v>X</v>
      </c>
      <c r="I14" s="19" t="str">
        <f aca="false">IF(AND($A14&lt;&gt;"",I$1&lt;&gt;"",13&lt;=IFERROR(VLOOKUP(I$1,الحصص!$A:$F,6,FALSE()),0)),"X","")</f>
        <v/>
      </c>
      <c r="J14" s="19" t="str">
        <f aca="false">IF(AND($A14&lt;&gt;"",J$1&lt;&gt;"",13&lt;=IFERROR(VLOOKUP(J$1,الحصص!$A:$F,6,FALSE()),0)),"X","")</f>
        <v/>
      </c>
      <c r="K14" s="19" t="str">
        <f aca="false">IF(AND($A14&lt;&gt;"",K$1&lt;&gt;"",13&lt;=IFERROR(VLOOKUP(K$1,الحصص!$A:$F,6,FALSE()),0)),"X","")</f>
        <v/>
      </c>
      <c r="L14" s="19" t="str">
        <f aca="false">IF(AND($A14&lt;&gt;"",L$1&lt;&gt;"",13&lt;=IFERROR(VLOOKUP(L$1,الحصص!$A:$F,6,FALSE()),0)),"X","")</f>
        <v/>
      </c>
      <c r="M14" s="19" t="str">
        <f aca="false">IF(AND($A14&lt;&gt;"",M$1&lt;&gt;"",13&lt;=IFERROR(VLOOKUP(M$1,الحصص!$A:$F,6,FALSE()),0)),"X","")</f>
        <v/>
      </c>
      <c r="N14" s="19" t="str">
        <f aca="false">IF(AND($A14&lt;&gt;"",N$1&lt;&gt;"",13&lt;=IFERROR(VLOOKUP(N$1,الحصص!$A:$F,6,FALSE()),0)),"X","")</f>
        <v/>
      </c>
      <c r="O14" s="19" t="str">
        <f aca="false">IF(AND($A14&lt;&gt;"",O$1&lt;&gt;"",13&lt;=IFERROR(VLOOKUP(O$1,الحصص!$A:$F,6,FALSE()),0)),"X","")</f>
        <v/>
      </c>
      <c r="P14" s="19" t="str">
        <f aca="false">IF(AND($A14&lt;&gt;"",P$1&lt;&gt;"",13&lt;=IFERROR(VLOOKUP(P$1,الحصص!$A:$F,6,FALSE()),0)),"X","")</f>
        <v/>
      </c>
      <c r="Q14" s="19" t="str">
        <f aca="false">IF(AND($A14&lt;&gt;"",Q$1&lt;&gt;"",13&lt;=IFERROR(VLOOKUP(Q$1,الحصص!$A:$F,6,FALSE()),0)),"X","")</f>
        <v/>
      </c>
      <c r="R14" s="19" t="str">
        <f aca="false">IF(AND($A14&lt;&gt;"",R$1&lt;&gt;"",13&lt;=IFERROR(VLOOKUP(R$1,الحصص!$A:$F,6,FALSE()),0)),"X","")</f>
        <v/>
      </c>
      <c r="S14" s="19" t="str">
        <f aca="false">IF(AND($A14&lt;&gt;"",S$1&lt;&gt;"",13&lt;=IFERROR(VLOOKUP(S$1,الحصص!$A:$F,6,FALSE()),0)),"X","")</f>
        <v/>
      </c>
      <c r="T14" s="19" t="str">
        <f aca="false">IF(AND($A14&lt;&gt;"",T$1&lt;&gt;"",13&lt;=IFERROR(VLOOKUP(T$1,الحصص!$A:$F,6,FALSE()),0)),"X","")</f>
        <v/>
      </c>
      <c r="U14" s="19" t="str">
        <f aca="false">IF(AND($A14&lt;&gt;"",U$1&lt;&gt;"",13&lt;=IFERROR(VLOOKUP(U$1,الحصص!$A:$F,6,FALSE()),0)),"X","")</f>
        <v/>
      </c>
    </row>
    <row r="15" customFormat="false" ht="19.5" hidden="false" customHeight="true" outlineLevel="0" collapsed="false">
      <c r="A15" s="18" t="str">
        <f aca="false">IF(14&lt;=الإعدادات!$C$3,"القاعة "&amp;TEXT(14,"0"),"")</f>
        <v>القاعة 14</v>
      </c>
      <c r="B15" s="20" t="str">
        <f aca="false">IF(AND($A15&lt;&gt;"",B$1&lt;&gt;"",14&lt;=IFERROR(VLOOKUP(B$1,الحصص!$A:$F,6,FALSE()),0)),"X","")</f>
        <v/>
      </c>
      <c r="C15" s="20" t="str">
        <f aca="false">IF(AND($A15&lt;&gt;"",C$1&lt;&gt;"",14&lt;=IFERROR(VLOOKUP(C$1,الحصص!$A:$F,6,FALSE()),0)),"X","")</f>
        <v/>
      </c>
      <c r="D15" s="20" t="str">
        <f aca="false">IF(AND($A15&lt;&gt;"",D$1&lt;&gt;"",14&lt;=IFERROR(VLOOKUP(D$1,الحصص!$A:$F,6,FALSE()),0)),"X","")</f>
        <v/>
      </c>
      <c r="E15" s="20" t="str">
        <f aca="false">IF(AND($A15&lt;&gt;"",E$1&lt;&gt;"",14&lt;=IFERROR(VLOOKUP(E$1,الحصص!$A:$F,6,FALSE()),0)),"X","")</f>
        <v>X</v>
      </c>
      <c r="F15" s="20" t="str">
        <f aca="false">IF(AND($A15&lt;&gt;"",F$1&lt;&gt;"",14&lt;=IFERROR(VLOOKUP(F$1,الحصص!$A:$F,6,FALSE()),0)),"X","")</f>
        <v>X</v>
      </c>
      <c r="G15" s="20" t="str">
        <f aca="false">IF(AND($A15&lt;&gt;"",G$1&lt;&gt;"",14&lt;=IFERROR(VLOOKUP(G$1,الحصص!$A:$F,6,FALSE()),0)),"X","")</f>
        <v>X</v>
      </c>
      <c r="H15" s="20" t="str">
        <f aca="false">IF(AND($A15&lt;&gt;"",H$1&lt;&gt;"",14&lt;=IFERROR(VLOOKUP(H$1,الحصص!$A:$F,6,FALSE()),0)),"X","")</f>
        <v>X</v>
      </c>
      <c r="I15" s="20" t="str">
        <f aca="false">IF(AND($A15&lt;&gt;"",I$1&lt;&gt;"",14&lt;=IFERROR(VLOOKUP(I$1,الحصص!$A:$F,6,FALSE()),0)),"X","")</f>
        <v/>
      </c>
      <c r="J15" s="20" t="str">
        <f aca="false">IF(AND($A15&lt;&gt;"",J$1&lt;&gt;"",14&lt;=IFERROR(VLOOKUP(J$1,الحصص!$A:$F,6,FALSE()),0)),"X","")</f>
        <v/>
      </c>
      <c r="K15" s="20" t="str">
        <f aca="false">IF(AND($A15&lt;&gt;"",K$1&lt;&gt;"",14&lt;=IFERROR(VLOOKUP(K$1,الحصص!$A:$F,6,FALSE()),0)),"X","")</f>
        <v/>
      </c>
      <c r="L15" s="20" t="str">
        <f aca="false">IF(AND($A15&lt;&gt;"",L$1&lt;&gt;"",14&lt;=IFERROR(VLOOKUP(L$1,الحصص!$A:$F,6,FALSE()),0)),"X","")</f>
        <v/>
      </c>
      <c r="M15" s="20" t="str">
        <f aca="false">IF(AND($A15&lt;&gt;"",M$1&lt;&gt;"",14&lt;=IFERROR(VLOOKUP(M$1,الحصص!$A:$F,6,FALSE()),0)),"X","")</f>
        <v/>
      </c>
      <c r="N15" s="20" t="str">
        <f aca="false">IF(AND($A15&lt;&gt;"",N$1&lt;&gt;"",14&lt;=IFERROR(VLOOKUP(N$1,الحصص!$A:$F,6,FALSE()),0)),"X","")</f>
        <v/>
      </c>
      <c r="O15" s="20" t="str">
        <f aca="false">IF(AND($A15&lt;&gt;"",O$1&lt;&gt;"",14&lt;=IFERROR(VLOOKUP(O$1,الحصص!$A:$F,6,FALSE()),0)),"X","")</f>
        <v/>
      </c>
      <c r="P15" s="20" t="str">
        <f aca="false">IF(AND($A15&lt;&gt;"",P$1&lt;&gt;"",14&lt;=IFERROR(VLOOKUP(P$1,الحصص!$A:$F,6,FALSE()),0)),"X","")</f>
        <v/>
      </c>
      <c r="Q15" s="20" t="str">
        <f aca="false">IF(AND($A15&lt;&gt;"",Q$1&lt;&gt;"",14&lt;=IFERROR(VLOOKUP(Q$1,الحصص!$A:$F,6,FALSE()),0)),"X","")</f>
        <v/>
      </c>
      <c r="R15" s="20" t="str">
        <f aca="false">IF(AND($A15&lt;&gt;"",R$1&lt;&gt;"",14&lt;=IFERROR(VLOOKUP(R$1,الحصص!$A:$F,6,FALSE()),0)),"X","")</f>
        <v/>
      </c>
      <c r="S15" s="20" t="str">
        <f aca="false">IF(AND($A15&lt;&gt;"",S$1&lt;&gt;"",14&lt;=IFERROR(VLOOKUP(S$1,الحصص!$A:$F,6,FALSE()),0)),"X","")</f>
        <v/>
      </c>
      <c r="T15" s="20" t="str">
        <f aca="false">IF(AND($A15&lt;&gt;"",T$1&lt;&gt;"",14&lt;=IFERROR(VLOOKUP(T$1,الحصص!$A:$F,6,FALSE()),0)),"X","")</f>
        <v/>
      </c>
      <c r="U15" s="20" t="str">
        <f aca="false">IF(AND($A15&lt;&gt;"",U$1&lt;&gt;"",14&lt;=IFERROR(VLOOKUP(U$1,الحصص!$A:$F,6,FALSE()),0)),"X","")</f>
        <v/>
      </c>
    </row>
    <row r="16" customFormat="false" ht="19.5" hidden="false" customHeight="true" outlineLevel="0" collapsed="false">
      <c r="A16" s="18" t="str">
        <f aca="false">IF(15&lt;=الإعدادات!$C$3,"القاعة "&amp;TEXT(15,"0"),"")</f>
        <v/>
      </c>
      <c r="B16" s="19" t="str">
        <f aca="false">IF(AND($A16&lt;&gt;"",B$1&lt;&gt;"",15&lt;=IFERROR(VLOOKUP(B$1,الحصص!$A:$F,6,FALSE()),0)),"X","")</f>
        <v/>
      </c>
      <c r="C16" s="19" t="str">
        <f aca="false">IF(AND($A16&lt;&gt;"",C$1&lt;&gt;"",15&lt;=IFERROR(VLOOKUP(C$1,الحصص!$A:$F,6,FALSE()),0)),"X","")</f>
        <v/>
      </c>
      <c r="D16" s="19" t="str">
        <f aca="false">IF(AND($A16&lt;&gt;"",D$1&lt;&gt;"",15&lt;=IFERROR(VLOOKUP(D$1,الحصص!$A:$F,6,FALSE()),0)),"X","")</f>
        <v/>
      </c>
      <c r="E16" s="19" t="str">
        <f aca="false">IF(AND($A16&lt;&gt;"",E$1&lt;&gt;"",15&lt;=IFERROR(VLOOKUP(E$1,الحصص!$A:$F,6,FALSE()),0)),"X","")</f>
        <v/>
      </c>
      <c r="F16" s="19" t="str">
        <f aca="false">IF(AND($A16&lt;&gt;"",F$1&lt;&gt;"",15&lt;=IFERROR(VLOOKUP(F$1,الحصص!$A:$F,6,FALSE()),0)),"X","")</f>
        <v/>
      </c>
      <c r="G16" s="19" t="str">
        <f aca="false">IF(AND($A16&lt;&gt;"",G$1&lt;&gt;"",15&lt;=IFERROR(VLOOKUP(G$1,الحصص!$A:$F,6,FALSE()),0)),"X","")</f>
        <v/>
      </c>
      <c r="H16" s="19" t="str">
        <f aca="false">IF(AND($A16&lt;&gt;"",H$1&lt;&gt;"",15&lt;=IFERROR(VLOOKUP(H$1,الحصص!$A:$F,6,FALSE()),0)),"X","")</f>
        <v/>
      </c>
      <c r="I16" s="19" t="str">
        <f aca="false">IF(AND($A16&lt;&gt;"",I$1&lt;&gt;"",15&lt;=IFERROR(VLOOKUP(I$1,الحصص!$A:$F,6,FALSE()),0)),"X","")</f>
        <v/>
      </c>
      <c r="J16" s="19" t="str">
        <f aca="false">IF(AND($A16&lt;&gt;"",J$1&lt;&gt;"",15&lt;=IFERROR(VLOOKUP(J$1,الحصص!$A:$F,6,FALSE()),0)),"X","")</f>
        <v/>
      </c>
      <c r="K16" s="19" t="str">
        <f aca="false">IF(AND($A16&lt;&gt;"",K$1&lt;&gt;"",15&lt;=IFERROR(VLOOKUP(K$1,الحصص!$A:$F,6,FALSE()),0)),"X","")</f>
        <v/>
      </c>
      <c r="L16" s="19" t="str">
        <f aca="false">IF(AND($A16&lt;&gt;"",L$1&lt;&gt;"",15&lt;=IFERROR(VLOOKUP(L$1,الحصص!$A:$F,6,FALSE()),0)),"X","")</f>
        <v/>
      </c>
      <c r="M16" s="19" t="str">
        <f aca="false">IF(AND($A16&lt;&gt;"",M$1&lt;&gt;"",15&lt;=IFERROR(VLOOKUP(M$1,الحصص!$A:$F,6,FALSE()),0)),"X","")</f>
        <v/>
      </c>
      <c r="N16" s="19" t="str">
        <f aca="false">IF(AND($A16&lt;&gt;"",N$1&lt;&gt;"",15&lt;=IFERROR(VLOOKUP(N$1,الحصص!$A:$F,6,FALSE()),0)),"X","")</f>
        <v/>
      </c>
      <c r="O16" s="19" t="str">
        <f aca="false">IF(AND($A16&lt;&gt;"",O$1&lt;&gt;"",15&lt;=IFERROR(VLOOKUP(O$1,الحصص!$A:$F,6,FALSE()),0)),"X","")</f>
        <v/>
      </c>
      <c r="P16" s="19" t="str">
        <f aca="false">IF(AND($A16&lt;&gt;"",P$1&lt;&gt;"",15&lt;=IFERROR(VLOOKUP(P$1,الحصص!$A:$F,6,FALSE()),0)),"X","")</f>
        <v/>
      </c>
      <c r="Q16" s="19" t="str">
        <f aca="false">IF(AND($A16&lt;&gt;"",Q$1&lt;&gt;"",15&lt;=IFERROR(VLOOKUP(Q$1,الحصص!$A:$F,6,FALSE()),0)),"X","")</f>
        <v/>
      </c>
      <c r="R16" s="19" t="str">
        <f aca="false">IF(AND($A16&lt;&gt;"",R$1&lt;&gt;"",15&lt;=IFERROR(VLOOKUP(R$1,الحصص!$A:$F,6,FALSE()),0)),"X","")</f>
        <v/>
      </c>
      <c r="S16" s="19" t="str">
        <f aca="false">IF(AND($A16&lt;&gt;"",S$1&lt;&gt;"",15&lt;=IFERROR(VLOOKUP(S$1,الحصص!$A:$F,6,FALSE()),0)),"X","")</f>
        <v/>
      </c>
      <c r="T16" s="19" t="str">
        <f aca="false">IF(AND($A16&lt;&gt;"",T$1&lt;&gt;"",15&lt;=IFERROR(VLOOKUP(T$1,الحصص!$A:$F,6,FALSE()),0)),"X","")</f>
        <v/>
      </c>
      <c r="U16" s="19" t="str">
        <f aca="false">IF(AND($A16&lt;&gt;"",U$1&lt;&gt;"",15&lt;=IFERROR(VLOOKUP(U$1,الحصص!$A:$F,6,FALSE()),0)),"X","")</f>
        <v/>
      </c>
    </row>
    <row r="17" customFormat="false" ht="19.5" hidden="false" customHeight="true" outlineLevel="0" collapsed="false">
      <c r="A17" s="18" t="str">
        <f aca="false">IF(16&lt;=الإعدادات!$C$3,"القاعة "&amp;TEXT(16,"0"),"")</f>
        <v/>
      </c>
      <c r="B17" s="20" t="str">
        <f aca="false">IF(AND($A17&lt;&gt;"",B$1&lt;&gt;"",16&lt;=IFERROR(VLOOKUP(B$1,الحصص!$A:$F,6,FALSE()),0)),"X","")</f>
        <v/>
      </c>
      <c r="C17" s="20" t="str">
        <f aca="false">IF(AND($A17&lt;&gt;"",C$1&lt;&gt;"",16&lt;=IFERROR(VLOOKUP(C$1,الحصص!$A:$F,6,FALSE()),0)),"X","")</f>
        <v/>
      </c>
      <c r="D17" s="20" t="str">
        <f aca="false">IF(AND($A17&lt;&gt;"",D$1&lt;&gt;"",16&lt;=IFERROR(VLOOKUP(D$1,الحصص!$A:$F,6,FALSE()),0)),"X","")</f>
        <v/>
      </c>
      <c r="E17" s="20" t="str">
        <f aca="false">IF(AND($A17&lt;&gt;"",E$1&lt;&gt;"",16&lt;=IFERROR(VLOOKUP(E$1,الحصص!$A:$F,6,FALSE()),0)),"X","")</f>
        <v/>
      </c>
      <c r="F17" s="20" t="str">
        <f aca="false">IF(AND($A17&lt;&gt;"",F$1&lt;&gt;"",16&lt;=IFERROR(VLOOKUP(F$1,الحصص!$A:$F,6,FALSE()),0)),"X","")</f>
        <v/>
      </c>
      <c r="G17" s="20" t="str">
        <f aca="false">IF(AND($A17&lt;&gt;"",G$1&lt;&gt;"",16&lt;=IFERROR(VLOOKUP(G$1,الحصص!$A:$F,6,FALSE()),0)),"X","")</f>
        <v/>
      </c>
      <c r="H17" s="20" t="str">
        <f aca="false">IF(AND($A17&lt;&gt;"",H$1&lt;&gt;"",16&lt;=IFERROR(VLOOKUP(H$1,الحصص!$A:$F,6,FALSE()),0)),"X","")</f>
        <v/>
      </c>
      <c r="I17" s="20" t="str">
        <f aca="false">IF(AND($A17&lt;&gt;"",I$1&lt;&gt;"",16&lt;=IFERROR(VLOOKUP(I$1,الحصص!$A:$F,6,FALSE()),0)),"X","")</f>
        <v/>
      </c>
      <c r="J17" s="20" t="str">
        <f aca="false">IF(AND($A17&lt;&gt;"",J$1&lt;&gt;"",16&lt;=IFERROR(VLOOKUP(J$1,الحصص!$A:$F,6,FALSE()),0)),"X","")</f>
        <v/>
      </c>
      <c r="K17" s="20" t="str">
        <f aca="false">IF(AND($A17&lt;&gt;"",K$1&lt;&gt;"",16&lt;=IFERROR(VLOOKUP(K$1,الحصص!$A:$F,6,FALSE()),0)),"X","")</f>
        <v/>
      </c>
      <c r="L17" s="20" t="str">
        <f aca="false">IF(AND($A17&lt;&gt;"",L$1&lt;&gt;"",16&lt;=IFERROR(VLOOKUP(L$1,الحصص!$A:$F,6,FALSE()),0)),"X","")</f>
        <v/>
      </c>
      <c r="M17" s="20" t="str">
        <f aca="false">IF(AND($A17&lt;&gt;"",M$1&lt;&gt;"",16&lt;=IFERROR(VLOOKUP(M$1,الحصص!$A:$F,6,FALSE()),0)),"X","")</f>
        <v/>
      </c>
      <c r="N17" s="20" t="str">
        <f aca="false">IF(AND($A17&lt;&gt;"",N$1&lt;&gt;"",16&lt;=IFERROR(VLOOKUP(N$1,الحصص!$A:$F,6,FALSE()),0)),"X","")</f>
        <v/>
      </c>
      <c r="O17" s="20" t="str">
        <f aca="false">IF(AND($A17&lt;&gt;"",O$1&lt;&gt;"",16&lt;=IFERROR(VLOOKUP(O$1,الحصص!$A:$F,6,FALSE()),0)),"X","")</f>
        <v/>
      </c>
      <c r="P17" s="20" t="str">
        <f aca="false">IF(AND($A17&lt;&gt;"",P$1&lt;&gt;"",16&lt;=IFERROR(VLOOKUP(P$1,الحصص!$A:$F,6,FALSE()),0)),"X","")</f>
        <v/>
      </c>
      <c r="Q17" s="20" t="str">
        <f aca="false">IF(AND($A17&lt;&gt;"",Q$1&lt;&gt;"",16&lt;=IFERROR(VLOOKUP(Q$1,الحصص!$A:$F,6,FALSE()),0)),"X","")</f>
        <v/>
      </c>
      <c r="R17" s="20" t="str">
        <f aca="false">IF(AND($A17&lt;&gt;"",R$1&lt;&gt;"",16&lt;=IFERROR(VLOOKUP(R$1,الحصص!$A:$F,6,FALSE()),0)),"X","")</f>
        <v/>
      </c>
      <c r="S17" s="20" t="str">
        <f aca="false">IF(AND($A17&lt;&gt;"",S$1&lt;&gt;"",16&lt;=IFERROR(VLOOKUP(S$1,الحصص!$A:$F,6,FALSE()),0)),"X","")</f>
        <v/>
      </c>
      <c r="T17" s="20" t="str">
        <f aca="false">IF(AND($A17&lt;&gt;"",T$1&lt;&gt;"",16&lt;=IFERROR(VLOOKUP(T$1,الحصص!$A:$F,6,FALSE()),0)),"X","")</f>
        <v/>
      </c>
      <c r="U17" s="20" t="str">
        <f aca="false">IF(AND($A17&lt;&gt;"",U$1&lt;&gt;"",16&lt;=IFERROR(VLOOKUP(U$1,الحصص!$A:$F,6,FALSE()),0)),"X","")</f>
        <v/>
      </c>
    </row>
    <row r="18" customFormat="false" ht="19.5" hidden="false" customHeight="true" outlineLevel="0" collapsed="false">
      <c r="A18" s="18" t="str">
        <f aca="false">IF(17&lt;=الإعدادات!$C$3,"القاعة "&amp;TEXT(17,"0"),"")</f>
        <v/>
      </c>
      <c r="B18" s="19" t="str">
        <f aca="false">IF(AND($A18&lt;&gt;"",B$1&lt;&gt;"",17&lt;=IFERROR(VLOOKUP(B$1,الحصص!$A:$F,6,FALSE()),0)),"X","")</f>
        <v/>
      </c>
      <c r="C18" s="19" t="str">
        <f aca="false">IF(AND($A18&lt;&gt;"",C$1&lt;&gt;"",17&lt;=IFERROR(VLOOKUP(C$1,الحصص!$A:$F,6,FALSE()),0)),"X","")</f>
        <v/>
      </c>
      <c r="D18" s="19" t="str">
        <f aca="false">IF(AND($A18&lt;&gt;"",D$1&lt;&gt;"",17&lt;=IFERROR(VLOOKUP(D$1,الحصص!$A:$F,6,FALSE()),0)),"X","")</f>
        <v/>
      </c>
      <c r="E18" s="19" t="str">
        <f aca="false">IF(AND($A18&lt;&gt;"",E$1&lt;&gt;"",17&lt;=IFERROR(VLOOKUP(E$1,الحصص!$A:$F,6,FALSE()),0)),"X","")</f>
        <v/>
      </c>
      <c r="F18" s="19" t="str">
        <f aca="false">IF(AND($A18&lt;&gt;"",F$1&lt;&gt;"",17&lt;=IFERROR(VLOOKUP(F$1,الحصص!$A:$F,6,FALSE()),0)),"X","")</f>
        <v/>
      </c>
      <c r="G18" s="19" t="str">
        <f aca="false">IF(AND($A18&lt;&gt;"",G$1&lt;&gt;"",17&lt;=IFERROR(VLOOKUP(G$1,الحصص!$A:$F,6,FALSE()),0)),"X","")</f>
        <v/>
      </c>
      <c r="H18" s="19" t="str">
        <f aca="false">IF(AND($A18&lt;&gt;"",H$1&lt;&gt;"",17&lt;=IFERROR(VLOOKUP(H$1,الحصص!$A:$F,6,FALSE()),0)),"X","")</f>
        <v/>
      </c>
      <c r="I18" s="19" t="str">
        <f aca="false">IF(AND($A18&lt;&gt;"",I$1&lt;&gt;"",17&lt;=IFERROR(VLOOKUP(I$1,الحصص!$A:$F,6,FALSE()),0)),"X","")</f>
        <v/>
      </c>
      <c r="J18" s="19" t="str">
        <f aca="false">IF(AND($A18&lt;&gt;"",J$1&lt;&gt;"",17&lt;=IFERROR(VLOOKUP(J$1,الحصص!$A:$F,6,FALSE()),0)),"X","")</f>
        <v/>
      </c>
      <c r="K18" s="19" t="str">
        <f aca="false">IF(AND($A18&lt;&gt;"",K$1&lt;&gt;"",17&lt;=IFERROR(VLOOKUP(K$1,الحصص!$A:$F,6,FALSE()),0)),"X","")</f>
        <v/>
      </c>
      <c r="L18" s="19" t="str">
        <f aca="false">IF(AND($A18&lt;&gt;"",L$1&lt;&gt;"",17&lt;=IFERROR(VLOOKUP(L$1,الحصص!$A:$F,6,FALSE()),0)),"X","")</f>
        <v/>
      </c>
      <c r="M18" s="19" t="str">
        <f aca="false">IF(AND($A18&lt;&gt;"",M$1&lt;&gt;"",17&lt;=IFERROR(VLOOKUP(M$1,الحصص!$A:$F,6,FALSE()),0)),"X","")</f>
        <v/>
      </c>
      <c r="N18" s="19" t="str">
        <f aca="false">IF(AND($A18&lt;&gt;"",N$1&lt;&gt;"",17&lt;=IFERROR(VLOOKUP(N$1,الحصص!$A:$F,6,FALSE()),0)),"X","")</f>
        <v/>
      </c>
      <c r="O18" s="19" t="str">
        <f aca="false">IF(AND($A18&lt;&gt;"",O$1&lt;&gt;"",17&lt;=IFERROR(VLOOKUP(O$1,الحصص!$A:$F,6,FALSE()),0)),"X","")</f>
        <v/>
      </c>
      <c r="P18" s="19" t="str">
        <f aca="false">IF(AND($A18&lt;&gt;"",P$1&lt;&gt;"",17&lt;=IFERROR(VLOOKUP(P$1,الحصص!$A:$F,6,FALSE()),0)),"X","")</f>
        <v/>
      </c>
      <c r="Q18" s="19" t="str">
        <f aca="false">IF(AND($A18&lt;&gt;"",Q$1&lt;&gt;"",17&lt;=IFERROR(VLOOKUP(Q$1,الحصص!$A:$F,6,FALSE()),0)),"X","")</f>
        <v/>
      </c>
      <c r="R18" s="19" t="str">
        <f aca="false">IF(AND($A18&lt;&gt;"",R$1&lt;&gt;"",17&lt;=IFERROR(VLOOKUP(R$1,الحصص!$A:$F,6,FALSE()),0)),"X","")</f>
        <v/>
      </c>
      <c r="S18" s="19" t="str">
        <f aca="false">IF(AND($A18&lt;&gt;"",S$1&lt;&gt;"",17&lt;=IFERROR(VLOOKUP(S$1,الحصص!$A:$F,6,FALSE()),0)),"X","")</f>
        <v/>
      </c>
      <c r="T18" s="19" t="str">
        <f aca="false">IF(AND($A18&lt;&gt;"",T$1&lt;&gt;"",17&lt;=IFERROR(VLOOKUP(T$1,الحصص!$A:$F,6,FALSE()),0)),"X","")</f>
        <v/>
      </c>
      <c r="U18" s="19" t="str">
        <f aca="false">IF(AND($A18&lt;&gt;"",U$1&lt;&gt;"",17&lt;=IFERROR(VLOOKUP(U$1,الحصص!$A:$F,6,FALSE()),0)),"X","")</f>
        <v/>
      </c>
    </row>
    <row r="19" customFormat="false" ht="19.5" hidden="false" customHeight="true" outlineLevel="0" collapsed="false">
      <c r="A19" s="18" t="str">
        <f aca="false">IF(18&lt;=الإعدادات!$C$3,"القاعة "&amp;TEXT(18,"0"),"")</f>
        <v/>
      </c>
      <c r="B19" s="20" t="str">
        <f aca="false">IF(AND($A19&lt;&gt;"",B$1&lt;&gt;"",18&lt;=IFERROR(VLOOKUP(B$1,الحصص!$A:$F,6,FALSE()),0)),"X","")</f>
        <v/>
      </c>
      <c r="C19" s="20" t="str">
        <f aca="false">IF(AND($A19&lt;&gt;"",C$1&lt;&gt;"",18&lt;=IFERROR(VLOOKUP(C$1,الحصص!$A:$F,6,FALSE()),0)),"X","")</f>
        <v/>
      </c>
      <c r="D19" s="20" t="str">
        <f aca="false">IF(AND($A19&lt;&gt;"",D$1&lt;&gt;"",18&lt;=IFERROR(VLOOKUP(D$1,الحصص!$A:$F,6,FALSE()),0)),"X","")</f>
        <v/>
      </c>
      <c r="E19" s="20" t="str">
        <f aca="false">IF(AND($A19&lt;&gt;"",E$1&lt;&gt;"",18&lt;=IFERROR(VLOOKUP(E$1,الحصص!$A:$F,6,FALSE()),0)),"X","")</f>
        <v/>
      </c>
      <c r="F19" s="20" t="str">
        <f aca="false">IF(AND($A19&lt;&gt;"",F$1&lt;&gt;"",18&lt;=IFERROR(VLOOKUP(F$1,الحصص!$A:$F,6,FALSE()),0)),"X","")</f>
        <v/>
      </c>
      <c r="G19" s="20" t="str">
        <f aca="false">IF(AND($A19&lt;&gt;"",G$1&lt;&gt;"",18&lt;=IFERROR(VLOOKUP(G$1,الحصص!$A:$F,6,FALSE()),0)),"X","")</f>
        <v/>
      </c>
      <c r="H19" s="20" t="str">
        <f aca="false">IF(AND($A19&lt;&gt;"",H$1&lt;&gt;"",18&lt;=IFERROR(VLOOKUP(H$1,الحصص!$A:$F,6,FALSE()),0)),"X","")</f>
        <v/>
      </c>
      <c r="I19" s="20" t="str">
        <f aca="false">IF(AND($A19&lt;&gt;"",I$1&lt;&gt;"",18&lt;=IFERROR(VLOOKUP(I$1,الحصص!$A:$F,6,FALSE()),0)),"X","")</f>
        <v/>
      </c>
      <c r="J19" s="20" t="str">
        <f aca="false">IF(AND($A19&lt;&gt;"",J$1&lt;&gt;"",18&lt;=IFERROR(VLOOKUP(J$1,الحصص!$A:$F,6,FALSE()),0)),"X","")</f>
        <v/>
      </c>
      <c r="K19" s="20" t="str">
        <f aca="false">IF(AND($A19&lt;&gt;"",K$1&lt;&gt;"",18&lt;=IFERROR(VLOOKUP(K$1,الحصص!$A:$F,6,FALSE()),0)),"X","")</f>
        <v/>
      </c>
      <c r="L19" s="20" t="str">
        <f aca="false">IF(AND($A19&lt;&gt;"",L$1&lt;&gt;"",18&lt;=IFERROR(VLOOKUP(L$1,الحصص!$A:$F,6,FALSE()),0)),"X","")</f>
        <v/>
      </c>
      <c r="M19" s="20" t="str">
        <f aca="false">IF(AND($A19&lt;&gt;"",M$1&lt;&gt;"",18&lt;=IFERROR(VLOOKUP(M$1,الحصص!$A:$F,6,FALSE()),0)),"X","")</f>
        <v/>
      </c>
      <c r="N19" s="20" t="str">
        <f aca="false">IF(AND($A19&lt;&gt;"",N$1&lt;&gt;"",18&lt;=IFERROR(VLOOKUP(N$1,الحصص!$A:$F,6,FALSE()),0)),"X","")</f>
        <v/>
      </c>
      <c r="O19" s="20" t="str">
        <f aca="false">IF(AND($A19&lt;&gt;"",O$1&lt;&gt;"",18&lt;=IFERROR(VLOOKUP(O$1,الحصص!$A:$F,6,FALSE()),0)),"X","")</f>
        <v/>
      </c>
      <c r="P19" s="20" t="str">
        <f aca="false">IF(AND($A19&lt;&gt;"",P$1&lt;&gt;"",18&lt;=IFERROR(VLOOKUP(P$1,الحصص!$A:$F,6,FALSE()),0)),"X","")</f>
        <v/>
      </c>
      <c r="Q19" s="20" t="str">
        <f aca="false">IF(AND($A19&lt;&gt;"",Q$1&lt;&gt;"",18&lt;=IFERROR(VLOOKUP(Q$1,الحصص!$A:$F,6,FALSE()),0)),"X","")</f>
        <v/>
      </c>
      <c r="R19" s="20" t="str">
        <f aca="false">IF(AND($A19&lt;&gt;"",R$1&lt;&gt;"",18&lt;=IFERROR(VLOOKUP(R$1,الحصص!$A:$F,6,FALSE()),0)),"X","")</f>
        <v/>
      </c>
      <c r="S19" s="20" t="str">
        <f aca="false">IF(AND($A19&lt;&gt;"",S$1&lt;&gt;"",18&lt;=IFERROR(VLOOKUP(S$1,الحصص!$A:$F,6,FALSE()),0)),"X","")</f>
        <v/>
      </c>
      <c r="T19" s="20" t="str">
        <f aca="false">IF(AND($A19&lt;&gt;"",T$1&lt;&gt;"",18&lt;=IFERROR(VLOOKUP(T$1,الحصص!$A:$F,6,FALSE()),0)),"X","")</f>
        <v/>
      </c>
      <c r="U19" s="20" t="str">
        <f aca="false">IF(AND($A19&lt;&gt;"",U$1&lt;&gt;"",18&lt;=IFERROR(VLOOKUP(U$1,الحصص!$A:$F,6,FALSE()),0)),"X","")</f>
        <v/>
      </c>
    </row>
    <row r="20" customFormat="false" ht="19.5" hidden="false" customHeight="true" outlineLevel="0" collapsed="false">
      <c r="A20" s="18" t="str">
        <f aca="false">IF(19&lt;=الإعدادات!$C$3,"القاعة "&amp;TEXT(19,"0"),"")</f>
        <v/>
      </c>
      <c r="B20" s="19" t="str">
        <f aca="false">IF(AND($A20&lt;&gt;"",B$1&lt;&gt;"",19&lt;=IFERROR(VLOOKUP(B$1,الحصص!$A:$F,6,FALSE()),0)),"X","")</f>
        <v/>
      </c>
      <c r="C20" s="19" t="str">
        <f aca="false">IF(AND($A20&lt;&gt;"",C$1&lt;&gt;"",19&lt;=IFERROR(VLOOKUP(C$1,الحصص!$A:$F,6,FALSE()),0)),"X","")</f>
        <v/>
      </c>
      <c r="D20" s="19" t="str">
        <f aca="false">IF(AND($A20&lt;&gt;"",D$1&lt;&gt;"",19&lt;=IFERROR(VLOOKUP(D$1,الحصص!$A:$F,6,FALSE()),0)),"X","")</f>
        <v/>
      </c>
      <c r="E20" s="19" t="str">
        <f aca="false">IF(AND($A20&lt;&gt;"",E$1&lt;&gt;"",19&lt;=IFERROR(VLOOKUP(E$1,الحصص!$A:$F,6,FALSE()),0)),"X","")</f>
        <v/>
      </c>
      <c r="F20" s="19" t="str">
        <f aca="false">IF(AND($A20&lt;&gt;"",F$1&lt;&gt;"",19&lt;=IFERROR(VLOOKUP(F$1,الحصص!$A:$F,6,FALSE()),0)),"X","")</f>
        <v/>
      </c>
      <c r="G20" s="19" t="str">
        <f aca="false">IF(AND($A20&lt;&gt;"",G$1&lt;&gt;"",19&lt;=IFERROR(VLOOKUP(G$1,الحصص!$A:$F,6,FALSE()),0)),"X","")</f>
        <v/>
      </c>
      <c r="H20" s="19" t="str">
        <f aca="false">IF(AND($A20&lt;&gt;"",H$1&lt;&gt;"",19&lt;=IFERROR(VLOOKUP(H$1,الحصص!$A:$F,6,FALSE()),0)),"X","")</f>
        <v/>
      </c>
      <c r="I20" s="19" t="str">
        <f aca="false">IF(AND($A20&lt;&gt;"",I$1&lt;&gt;"",19&lt;=IFERROR(VLOOKUP(I$1,الحصص!$A:$F,6,FALSE()),0)),"X","")</f>
        <v/>
      </c>
      <c r="J20" s="19" t="str">
        <f aca="false">IF(AND($A20&lt;&gt;"",J$1&lt;&gt;"",19&lt;=IFERROR(VLOOKUP(J$1,الحصص!$A:$F,6,FALSE()),0)),"X","")</f>
        <v/>
      </c>
      <c r="K20" s="19" t="str">
        <f aca="false">IF(AND($A20&lt;&gt;"",K$1&lt;&gt;"",19&lt;=IFERROR(VLOOKUP(K$1,الحصص!$A:$F,6,FALSE()),0)),"X","")</f>
        <v/>
      </c>
      <c r="L20" s="19" t="str">
        <f aca="false">IF(AND($A20&lt;&gt;"",L$1&lt;&gt;"",19&lt;=IFERROR(VLOOKUP(L$1,الحصص!$A:$F,6,FALSE()),0)),"X","")</f>
        <v/>
      </c>
      <c r="M20" s="19" t="str">
        <f aca="false">IF(AND($A20&lt;&gt;"",M$1&lt;&gt;"",19&lt;=IFERROR(VLOOKUP(M$1,الحصص!$A:$F,6,FALSE()),0)),"X","")</f>
        <v/>
      </c>
      <c r="N20" s="19" t="str">
        <f aca="false">IF(AND($A20&lt;&gt;"",N$1&lt;&gt;"",19&lt;=IFERROR(VLOOKUP(N$1,الحصص!$A:$F,6,FALSE()),0)),"X","")</f>
        <v/>
      </c>
      <c r="O20" s="19" t="str">
        <f aca="false">IF(AND($A20&lt;&gt;"",O$1&lt;&gt;"",19&lt;=IFERROR(VLOOKUP(O$1,الحصص!$A:$F,6,FALSE()),0)),"X","")</f>
        <v/>
      </c>
      <c r="P20" s="19" t="str">
        <f aca="false">IF(AND($A20&lt;&gt;"",P$1&lt;&gt;"",19&lt;=IFERROR(VLOOKUP(P$1,الحصص!$A:$F,6,FALSE()),0)),"X","")</f>
        <v/>
      </c>
      <c r="Q20" s="19" t="str">
        <f aca="false">IF(AND($A20&lt;&gt;"",Q$1&lt;&gt;"",19&lt;=IFERROR(VLOOKUP(Q$1,الحصص!$A:$F,6,FALSE()),0)),"X","")</f>
        <v/>
      </c>
      <c r="R20" s="19" t="str">
        <f aca="false">IF(AND($A20&lt;&gt;"",R$1&lt;&gt;"",19&lt;=IFERROR(VLOOKUP(R$1,الحصص!$A:$F,6,FALSE()),0)),"X","")</f>
        <v/>
      </c>
      <c r="S20" s="19" t="str">
        <f aca="false">IF(AND($A20&lt;&gt;"",S$1&lt;&gt;"",19&lt;=IFERROR(VLOOKUP(S$1,الحصص!$A:$F,6,FALSE()),0)),"X","")</f>
        <v/>
      </c>
      <c r="T20" s="19" t="str">
        <f aca="false">IF(AND($A20&lt;&gt;"",T$1&lt;&gt;"",19&lt;=IFERROR(VLOOKUP(T$1,الحصص!$A:$F,6,FALSE()),0)),"X","")</f>
        <v/>
      </c>
      <c r="U20" s="19" t="str">
        <f aca="false">IF(AND($A20&lt;&gt;"",U$1&lt;&gt;"",19&lt;=IFERROR(VLOOKUP(U$1,الحصص!$A:$F,6,FALSE()),0)),"X","")</f>
        <v/>
      </c>
    </row>
    <row r="21" customFormat="false" ht="19.5" hidden="false" customHeight="true" outlineLevel="0" collapsed="false">
      <c r="A21" s="18" t="str">
        <f aca="false">IF(20&lt;=الإعدادات!$C$3,"القاعة "&amp;TEXT(20,"0"),"")</f>
        <v/>
      </c>
      <c r="B21" s="20" t="str">
        <f aca="false">IF(AND($A21&lt;&gt;"",B$1&lt;&gt;"",20&lt;=IFERROR(VLOOKUP(B$1,الحصص!$A:$F,6,FALSE()),0)),"X","")</f>
        <v/>
      </c>
      <c r="C21" s="20" t="str">
        <f aca="false">IF(AND($A21&lt;&gt;"",C$1&lt;&gt;"",20&lt;=IFERROR(VLOOKUP(C$1,الحصص!$A:$F,6,FALSE()),0)),"X","")</f>
        <v/>
      </c>
      <c r="D21" s="20" t="str">
        <f aca="false">IF(AND($A21&lt;&gt;"",D$1&lt;&gt;"",20&lt;=IFERROR(VLOOKUP(D$1,الحصص!$A:$F,6,FALSE()),0)),"X","")</f>
        <v/>
      </c>
      <c r="E21" s="20" t="str">
        <f aca="false">IF(AND($A21&lt;&gt;"",E$1&lt;&gt;"",20&lt;=IFERROR(VLOOKUP(E$1,الحصص!$A:$F,6,FALSE()),0)),"X","")</f>
        <v/>
      </c>
      <c r="F21" s="20" t="str">
        <f aca="false">IF(AND($A21&lt;&gt;"",F$1&lt;&gt;"",20&lt;=IFERROR(VLOOKUP(F$1,الحصص!$A:$F,6,FALSE()),0)),"X","")</f>
        <v/>
      </c>
      <c r="G21" s="20" t="str">
        <f aca="false">IF(AND($A21&lt;&gt;"",G$1&lt;&gt;"",20&lt;=IFERROR(VLOOKUP(G$1,الحصص!$A:$F,6,FALSE()),0)),"X","")</f>
        <v/>
      </c>
      <c r="H21" s="20" t="str">
        <f aca="false">IF(AND($A21&lt;&gt;"",H$1&lt;&gt;"",20&lt;=IFERROR(VLOOKUP(H$1,الحصص!$A:$F,6,FALSE()),0)),"X","")</f>
        <v/>
      </c>
      <c r="I21" s="20" t="str">
        <f aca="false">IF(AND($A21&lt;&gt;"",I$1&lt;&gt;"",20&lt;=IFERROR(VLOOKUP(I$1,الحصص!$A:$F,6,FALSE()),0)),"X","")</f>
        <v/>
      </c>
      <c r="J21" s="20" t="str">
        <f aca="false">IF(AND($A21&lt;&gt;"",J$1&lt;&gt;"",20&lt;=IFERROR(VLOOKUP(J$1,الحصص!$A:$F,6,FALSE()),0)),"X","")</f>
        <v/>
      </c>
      <c r="K21" s="20" t="str">
        <f aca="false">IF(AND($A21&lt;&gt;"",K$1&lt;&gt;"",20&lt;=IFERROR(VLOOKUP(K$1,الحصص!$A:$F,6,FALSE()),0)),"X","")</f>
        <v/>
      </c>
      <c r="L21" s="20" t="str">
        <f aca="false">IF(AND($A21&lt;&gt;"",L$1&lt;&gt;"",20&lt;=IFERROR(VLOOKUP(L$1,الحصص!$A:$F,6,FALSE()),0)),"X","")</f>
        <v/>
      </c>
      <c r="M21" s="20" t="str">
        <f aca="false">IF(AND($A21&lt;&gt;"",M$1&lt;&gt;"",20&lt;=IFERROR(VLOOKUP(M$1,الحصص!$A:$F,6,FALSE()),0)),"X","")</f>
        <v/>
      </c>
      <c r="N21" s="20" t="str">
        <f aca="false">IF(AND($A21&lt;&gt;"",N$1&lt;&gt;"",20&lt;=IFERROR(VLOOKUP(N$1,الحصص!$A:$F,6,FALSE()),0)),"X","")</f>
        <v/>
      </c>
      <c r="O21" s="20" t="str">
        <f aca="false">IF(AND($A21&lt;&gt;"",O$1&lt;&gt;"",20&lt;=IFERROR(VLOOKUP(O$1,الحصص!$A:$F,6,FALSE()),0)),"X","")</f>
        <v/>
      </c>
      <c r="P21" s="20" t="str">
        <f aca="false">IF(AND($A21&lt;&gt;"",P$1&lt;&gt;"",20&lt;=IFERROR(VLOOKUP(P$1,الحصص!$A:$F,6,FALSE()),0)),"X","")</f>
        <v/>
      </c>
      <c r="Q21" s="20" t="str">
        <f aca="false">IF(AND($A21&lt;&gt;"",Q$1&lt;&gt;"",20&lt;=IFERROR(VLOOKUP(Q$1,الحصص!$A:$F,6,FALSE()),0)),"X","")</f>
        <v/>
      </c>
      <c r="R21" s="20" t="str">
        <f aca="false">IF(AND($A21&lt;&gt;"",R$1&lt;&gt;"",20&lt;=IFERROR(VLOOKUP(R$1,الحصص!$A:$F,6,FALSE()),0)),"X","")</f>
        <v/>
      </c>
      <c r="S21" s="20" t="str">
        <f aca="false">IF(AND($A21&lt;&gt;"",S$1&lt;&gt;"",20&lt;=IFERROR(VLOOKUP(S$1,الحصص!$A:$F,6,FALSE()),0)),"X","")</f>
        <v/>
      </c>
      <c r="T21" s="20" t="str">
        <f aca="false">IF(AND($A21&lt;&gt;"",T$1&lt;&gt;"",20&lt;=IFERROR(VLOOKUP(T$1,الحصص!$A:$F,6,FALSE()),0)),"X","")</f>
        <v/>
      </c>
      <c r="U21" s="20" t="str">
        <f aca="false">IF(AND($A21&lt;&gt;"",U$1&lt;&gt;"",20&lt;=IFERROR(VLOOKUP(U$1,الحصص!$A:$F,6,FALSE()),0)),"X","")</f>
        <v/>
      </c>
    </row>
    <row r="22" customFormat="false" ht="19.5" hidden="false" customHeight="true" outlineLevel="0" collapsed="false">
      <c r="A22" s="18" t="str">
        <f aca="false">IF(21&lt;=الإعدادات!$C$3,"القاعة "&amp;TEXT(21,"0"),"")</f>
        <v/>
      </c>
      <c r="B22" s="19" t="str">
        <f aca="false">IF(AND($A22&lt;&gt;"",B$1&lt;&gt;"",21&lt;=IFERROR(VLOOKUP(B$1,الحصص!$A:$F,6,FALSE()),0)),"X","")</f>
        <v/>
      </c>
      <c r="C22" s="19" t="str">
        <f aca="false">IF(AND($A22&lt;&gt;"",C$1&lt;&gt;"",21&lt;=IFERROR(VLOOKUP(C$1,الحصص!$A:$F,6,FALSE()),0)),"X","")</f>
        <v/>
      </c>
      <c r="D22" s="19" t="str">
        <f aca="false">IF(AND($A22&lt;&gt;"",D$1&lt;&gt;"",21&lt;=IFERROR(VLOOKUP(D$1,الحصص!$A:$F,6,FALSE()),0)),"X","")</f>
        <v/>
      </c>
      <c r="E22" s="19" t="str">
        <f aca="false">IF(AND($A22&lt;&gt;"",E$1&lt;&gt;"",21&lt;=IFERROR(VLOOKUP(E$1,الحصص!$A:$F,6,FALSE()),0)),"X","")</f>
        <v/>
      </c>
      <c r="F22" s="19" t="str">
        <f aca="false">IF(AND($A22&lt;&gt;"",F$1&lt;&gt;"",21&lt;=IFERROR(VLOOKUP(F$1,الحصص!$A:$F,6,FALSE()),0)),"X","")</f>
        <v/>
      </c>
      <c r="G22" s="19" t="str">
        <f aca="false">IF(AND($A22&lt;&gt;"",G$1&lt;&gt;"",21&lt;=IFERROR(VLOOKUP(G$1,الحصص!$A:$F,6,FALSE()),0)),"X","")</f>
        <v/>
      </c>
      <c r="H22" s="19" t="str">
        <f aca="false">IF(AND($A22&lt;&gt;"",H$1&lt;&gt;"",21&lt;=IFERROR(VLOOKUP(H$1,الحصص!$A:$F,6,FALSE()),0)),"X","")</f>
        <v/>
      </c>
      <c r="I22" s="19" t="str">
        <f aca="false">IF(AND($A22&lt;&gt;"",I$1&lt;&gt;"",21&lt;=IFERROR(VLOOKUP(I$1,الحصص!$A:$F,6,FALSE()),0)),"X","")</f>
        <v/>
      </c>
      <c r="J22" s="19" t="str">
        <f aca="false">IF(AND($A22&lt;&gt;"",J$1&lt;&gt;"",21&lt;=IFERROR(VLOOKUP(J$1,الحصص!$A:$F,6,FALSE()),0)),"X","")</f>
        <v/>
      </c>
      <c r="K22" s="19" t="str">
        <f aca="false">IF(AND($A22&lt;&gt;"",K$1&lt;&gt;"",21&lt;=IFERROR(VLOOKUP(K$1,الحصص!$A:$F,6,FALSE()),0)),"X","")</f>
        <v/>
      </c>
      <c r="L22" s="19" t="str">
        <f aca="false">IF(AND($A22&lt;&gt;"",L$1&lt;&gt;"",21&lt;=IFERROR(VLOOKUP(L$1,الحصص!$A:$F,6,FALSE()),0)),"X","")</f>
        <v/>
      </c>
      <c r="M22" s="19" t="str">
        <f aca="false">IF(AND($A22&lt;&gt;"",M$1&lt;&gt;"",21&lt;=IFERROR(VLOOKUP(M$1,الحصص!$A:$F,6,FALSE()),0)),"X","")</f>
        <v/>
      </c>
      <c r="N22" s="19" t="str">
        <f aca="false">IF(AND($A22&lt;&gt;"",N$1&lt;&gt;"",21&lt;=IFERROR(VLOOKUP(N$1,الحصص!$A:$F,6,FALSE()),0)),"X","")</f>
        <v/>
      </c>
      <c r="O22" s="19" t="str">
        <f aca="false">IF(AND($A22&lt;&gt;"",O$1&lt;&gt;"",21&lt;=IFERROR(VLOOKUP(O$1,الحصص!$A:$F,6,FALSE()),0)),"X","")</f>
        <v/>
      </c>
      <c r="P22" s="19" t="str">
        <f aca="false">IF(AND($A22&lt;&gt;"",P$1&lt;&gt;"",21&lt;=IFERROR(VLOOKUP(P$1,الحصص!$A:$F,6,FALSE()),0)),"X","")</f>
        <v/>
      </c>
      <c r="Q22" s="19" t="str">
        <f aca="false">IF(AND($A22&lt;&gt;"",Q$1&lt;&gt;"",21&lt;=IFERROR(VLOOKUP(Q$1,الحصص!$A:$F,6,FALSE()),0)),"X","")</f>
        <v/>
      </c>
      <c r="R22" s="19" t="str">
        <f aca="false">IF(AND($A22&lt;&gt;"",R$1&lt;&gt;"",21&lt;=IFERROR(VLOOKUP(R$1,الحصص!$A:$F,6,FALSE()),0)),"X","")</f>
        <v/>
      </c>
      <c r="S22" s="19" t="str">
        <f aca="false">IF(AND($A22&lt;&gt;"",S$1&lt;&gt;"",21&lt;=IFERROR(VLOOKUP(S$1,الحصص!$A:$F,6,FALSE()),0)),"X","")</f>
        <v/>
      </c>
      <c r="T22" s="19" t="str">
        <f aca="false">IF(AND($A22&lt;&gt;"",T$1&lt;&gt;"",21&lt;=IFERROR(VLOOKUP(T$1,الحصص!$A:$F,6,FALSE()),0)),"X","")</f>
        <v/>
      </c>
      <c r="U22" s="19" t="str">
        <f aca="false">IF(AND($A22&lt;&gt;"",U$1&lt;&gt;"",21&lt;=IFERROR(VLOOKUP(U$1,الحصص!$A:$F,6,FALSE()),0)),"X","")</f>
        <v/>
      </c>
    </row>
    <row r="23" customFormat="false" ht="19.5" hidden="false" customHeight="true" outlineLevel="0" collapsed="false">
      <c r="A23" s="18" t="str">
        <f aca="false">IF(22&lt;=الإعدادات!$C$3,"القاعة "&amp;TEXT(22,"0"),"")</f>
        <v/>
      </c>
      <c r="B23" s="20" t="str">
        <f aca="false">IF(AND($A23&lt;&gt;"",B$1&lt;&gt;"",22&lt;=IFERROR(VLOOKUP(B$1,الحصص!$A:$F,6,FALSE()),0)),"X","")</f>
        <v/>
      </c>
      <c r="C23" s="20" t="str">
        <f aca="false">IF(AND($A23&lt;&gt;"",C$1&lt;&gt;"",22&lt;=IFERROR(VLOOKUP(C$1,الحصص!$A:$F,6,FALSE()),0)),"X","")</f>
        <v/>
      </c>
      <c r="D23" s="20" t="str">
        <f aca="false">IF(AND($A23&lt;&gt;"",D$1&lt;&gt;"",22&lt;=IFERROR(VLOOKUP(D$1,الحصص!$A:$F,6,FALSE()),0)),"X","")</f>
        <v/>
      </c>
      <c r="E23" s="20" t="str">
        <f aca="false">IF(AND($A23&lt;&gt;"",E$1&lt;&gt;"",22&lt;=IFERROR(VLOOKUP(E$1,الحصص!$A:$F,6,FALSE()),0)),"X","")</f>
        <v/>
      </c>
      <c r="F23" s="20" t="str">
        <f aca="false">IF(AND($A23&lt;&gt;"",F$1&lt;&gt;"",22&lt;=IFERROR(VLOOKUP(F$1,الحصص!$A:$F,6,FALSE()),0)),"X","")</f>
        <v/>
      </c>
      <c r="G23" s="20" t="str">
        <f aca="false">IF(AND($A23&lt;&gt;"",G$1&lt;&gt;"",22&lt;=IFERROR(VLOOKUP(G$1,الحصص!$A:$F,6,FALSE()),0)),"X","")</f>
        <v/>
      </c>
      <c r="H23" s="20" t="str">
        <f aca="false">IF(AND($A23&lt;&gt;"",H$1&lt;&gt;"",22&lt;=IFERROR(VLOOKUP(H$1,الحصص!$A:$F,6,FALSE()),0)),"X","")</f>
        <v/>
      </c>
      <c r="I23" s="20" t="str">
        <f aca="false">IF(AND($A23&lt;&gt;"",I$1&lt;&gt;"",22&lt;=IFERROR(VLOOKUP(I$1,الحصص!$A:$F,6,FALSE()),0)),"X","")</f>
        <v/>
      </c>
      <c r="J23" s="20" t="str">
        <f aca="false">IF(AND($A23&lt;&gt;"",J$1&lt;&gt;"",22&lt;=IFERROR(VLOOKUP(J$1,الحصص!$A:$F,6,FALSE()),0)),"X","")</f>
        <v/>
      </c>
      <c r="K23" s="20" t="str">
        <f aca="false">IF(AND($A23&lt;&gt;"",K$1&lt;&gt;"",22&lt;=IFERROR(VLOOKUP(K$1,الحصص!$A:$F,6,FALSE()),0)),"X","")</f>
        <v/>
      </c>
      <c r="L23" s="20" t="str">
        <f aca="false">IF(AND($A23&lt;&gt;"",L$1&lt;&gt;"",22&lt;=IFERROR(VLOOKUP(L$1,الحصص!$A:$F,6,FALSE()),0)),"X","")</f>
        <v/>
      </c>
      <c r="M23" s="20" t="str">
        <f aca="false">IF(AND($A23&lt;&gt;"",M$1&lt;&gt;"",22&lt;=IFERROR(VLOOKUP(M$1,الحصص!$A:$F,6,FALSE()),0)),"X","")</f>
        <v/>
      </c>
      <c r="N23" s="20" t="str">
        <f aca="false">IF(AND($A23&lt;&gt;"",N$1&lt;&gt;"",22&lt;=IFERROR(VLOOKUP(N$1,الحصص!$A:$F,6,FALSE()),0)),"X","")</f>
        <v/>
      </c>
      <c r="O23" s="20" t="str">
        <f aca="false">IF(AND($A23&lt;&gt;"",O$1&lt;&gt;"",22&lt;=IFERROR(VLOOKUP(O$1,الحصص!$A:$F,6,FALSE()),0)),"X","")</f>
        <v/>
      </c>
      <c r="P23" s="20" t="str">
        <f aca="false">IF(AND($A23&lt;&gt;"",P$1&lt;&gt;"",22&lt;=IFERROR(VLOOKUP(P$1,الحصص!$A:$F,6,FALSE()),0)),"X","")</f>
        <v/>
      </c>
      <c r="Q23" s="20" t="str">
        <f aca="false">IF(AND($A23&lt;&gt;"",Q$1&lt;&gt;"",22&lt;=IFERROR(VLOOKUP(Q$1,الحصص!$A:$F,6,FALSE()),0)),"X","")</f>
        <v/>
      </c>
      <c r="R23" s="20" t="str">
        <f aca="false">IF(AND($A23&lt;&gt;"",R$1&lt;&gt;"",22&lt;=IFERROR(VLOOKUP(R$1,الحصص!$A:$F,6,FALSE()),0)),"X","")</f>
        <v/>
      </c>
      <c r="S23" s="20" t="str">
        <f aca="false">IF(AND($A23&lt;&gt;"",S$1&lt;&gt;"",22&lt;=IFERROR(VLOOKUP(S$1,الحصص!$A:$F,6,FALSE()),0)),"X","")</f>
        <v/>
      </c>
      <c r="T23" s="20" t="str">
        <f aca="false">IF(AND($A23&lt;&gt;"",T$1&lt;&gt;"",22&lt;=IFERROR(VLOOKUP(T$1,الحصص!$A:$F,6,FALSE()),0)),"X","")</f>
        <v/>
      </c>
      <c r="U23" s="20" t="str">
        <f aca="false">IF(AND($A23&lt;&gt;"",U$1&lt;&gt;"",22&lt;=IFERROR(VLOOKUP(U$1,الحصص!$A:$F,6,FALSE()),0)),"X","")</f>
        <v/>
      </c>
    </row>
    <row r="24" customFormat="false" ht="19.5" hidden="false" customHeight="true" outlineLevel="0" collapsed="false">
      <c r="A24" s="18" t="str">
        <f aca="false">IF(23&lt;=الإعدادات!$C$3,"القاعة "&amp;TEXT(23,"0"),"")</f>
        <v/>
      </c>
      <c r="B24" s="19" t="str">
        <f aca="false">IF(AND($A24&lt;&gt;"",B$1&lt;&gt;"",23&lt;=IFERROR(VLOOKUP(B$1,الحصص!$A:$F,6,FALSE()),0)),"X","")</f>
        <v/>
      </c>
      <c r="C24" s="19" t="str">
        <f aca="false">IF(AND($A24&lt;&gt;"",C$1&lt;&gt;"",23&lt;=IFERROR(VLOOKUP(C$1,الحصص!$A:$F,6,FALSE()),0)),"X","")</f>
        <v/>
      </c>
      <c r="D24" s="19" t="str">
        <f aca="false">IF(AND($A24&lt;&gt;"",D$1&lt;&gt;"",23&lt;=IFERROR(VLOOKUP(D$1,الحصص!$A:$F,6,FALSE()),0)),"X","")</f>
        <v/>
      </c>
      <c r="E24" s="19" t="str">
        <f aca="false">IF(AND($A24&lt;&gt;"",E$1&lt;&gt;"",23&lt;=IFERROR(VLOOKUP(E$1,الحصص!$A:$F,6,FALSE()),0)),"X","")</f>
        <v/>
      </c>
      <c r="F24" s="19" t="str">
        <f aca="false">IF(AND($A24&lt;&gt;"",F$1&lt;&gt;"",23&lt;=IFERROR(VLOOKUP(F$1,الحصص!$A:$F,6,FALSE()),0)),"X","")</f>
        <v/>
      </c>
      <c r="G24" s="19" t="str">
        <f aca="false">IF(AND($A24&lt;&gt;"",G$1&lt;&gt;"",23&lt;=IFERROR(VLOOKUP(G$1,الحصص!$A:$F,6,FALSE()),0)),"X","")</f>
        <v/>
      </c>
      <c r="H24" s="19" t="str">
        <f aca="false">IF(AND($A24&lt;&gt;"",H$1&lt;&gt;"",23&lt;=IFERROR(VLOOKUP(H$1,الحصص!$A:$F,6,FALSE()),0)),"X","")</f>
        <v/>
      </c>
      <c r="I24" s="19" t="str">
        <f aca="false">IF(AND($A24&lt;&gt;"",I$1&lt;&gt;"",23&lt;=IFERROR(VLOOKUP(I$1,الحصص!$A:$F,6,FALSE()),0)),"X","")</f>
        <v/>
      </c>
      <c r="J24" s="19" t="str">
        <f aca="false">IF(AND($A24&lt;&gt;"",J$1&lt;&gt;"",23&lt;=IFERROR(VLOOKUP(J$1,الحصص!$A:$F,6,FALSE()),0)),"X","")</f>
        <v/>
      </c>
      <c r="K24" s="19" t="str">
        <f aca="false">IF(AND($A24&lt;&gt;"",K$1&lt;&gt;"",23&lt;=IFERROR(VLOOKUP(K$1,الحصص!$A:$F,6,FALSE()),0)),"X","")</f>
        <v/>
      </c>
      <c r="L24" s="19" t="str">
        <f aca="false">IF(AND($A24&lt;&gt;"",L$1&lt;&gt;"",23&lt;=IFERROR(VLOOKUP(L$1,الحصص!$A:$F,6,FALSE()),0)),"X","")</f>
        <v/>
      </c>
      <c r="M24" s="19" t="str">
        <f aca="false">IF(AND($A24&lt;&gt;"",M$1&lt;&gt;"",23&lt;=IFERROR(VLOOKUP(M$1,الحصص!$A:$F,6,FALSE()),0)),"X","")</f>
        <v/>
      </c>
      <c r="N24" s="19" t="str">
        <f aca="false">IF(AND($A24&lt;&gt;"",N$1&lt;&gt;"",23&lt;=IFERROR(VLOOKUP(N$1,الحصص!$A:$F,6,FALSE()),0)),"X","")</f>
        <v/>
      </c>
      <c r="O24" s="19" t="str">
        <f aca="false">IF(AND($A24&lt;&gt;"",O$1&lt;&gt;"",23&lt;=IFERROR(VLOOKUP(O$1,الحصص!$A:$F,6,FALSE()),0)),"X","")</f>
        <v/>
      </c>
      <c r="P24" s="19" t="str">
        <f aca="false">IF(AND($A24&lt;&gt;"",P$1&lt;&gt;"",23&lt;=IFERROR(VLOOKUP(P$1,الحصص!$A:$F,6,FALSE()),0)),"X","")</f>
        <v/>
      </c>
      <c r="Q24" s="19" t="str">
        <f aca="false">IF(AND($A24&lt;&gt;"",Q$1&lt;&gt;"",23&lt;=IFERROR(VLOOKUP(Q$1,الحصص!$A:$F,6,FALSE()),0)),"X","")</f>
        <v/>
      </c>
      <c r="R24" s="19" t="str">
        <f aca="false">IF(AND($A24&lt;&gt;"",R$1&lt;&gt;"",23&lt;=IFERROR(VLOOKUP(R$1,الحصص!$A:$F,6,FALSE()),0)),"X","")</f>
        <v/>
      </c>
      <c r="S24" s="19" t="str">
        <f aca="false">IF(AND($A24&lt;&gt;"",S$1&lt;&gt;"",23&lt;=IFERROR(VLOOKUP(S$1,الحصص!$A:$F,6,FALSE()),0)),"X","")</f>
        <v/>
      </c>
      <c r="T24" s="19" t="str">
        <f aca="false">IF(AND($A24&lt;&gt;"",T$1&lt;&gt;"",23&lt;=IFERROR(VLOOKUP(T$1,الحصص!$A:$F,6,FALSE()),0)),"X","")</f>
        <v/>
      </c>
      <c r="U24" s="19" t="str">
        <f aca="false">IF(AND($A24&lt;&gt;"",U$1&lt;&gt;"",23&lt;=IFERROR(VLOOKUP(U$1,الحصص!$A:$F,6,FALSE()),0)),"X","")</f>
        <v/>
      </c>
    </row>
    <row r="25" customFormat="false" ht="19.5" hidden="false" customHeight="true" outlineLevel="0" collapsed="false">
      <c r="A25" s="18" t="str">
        <f aca="false">IF(24&lt;=الإعدادات!$C$3,"القاعة "&amp;TEXT(24,"0"),"")</f>
        <v/>
      </c>
      <c r="B25" s="20" t="str">
        <f aca="false">IF(AND($A25&lt;&gt;"",B$1&lt;&gt;"",24&lt;=IFERROR(VLOOKUP(B$1,الحصص!$A:$F,6,FALSE()),0)),"X","")</f>
        <v/>
      </c>
      <c r="C25" s="20" t="str">
        <f aca="false">IF(AND($A25&lt;&gt;"",C$1&lt;&gt;"",24&lt;=IFERROR(VLOOKUP(C$1,الحصص!$A:$F,6,FALSE()),0)),"X","")</f>
        <v/>
      </c>
      <c r="D25" s="20" t="str">
        <f aca="false">IF(AND($A25&lt;&gt;"",D$1&lt;&gt;"",24&lt;=IFERROR(VLOOKUP(D$1,الحصص!$A:$F,6,FALSE()),0)),"X","")</f>
        <v/>
      </c>
      <c r="E25" s="20" t="str">
        <f aca="false">IF(AND($A25&lt;&gt;"",E$1&lt;&gt;"",24&lt;=IFERROR(VLOOKUP(E$1,الحصص!$A:$F,6,FALSE()),0)),"X","")</f>
        <v/>
      </c>
      <c r="F25" s="20" t="str">
        <f aca="false">IF(AND($A25&lt;&gt;"",F$1&lt;&gt;"",24&lt;=IFERROR(VLOOKUP(F$1,الحصص!$A:$F,6,FALSE()),0)),"X","")</f>
        <v/>
      </c>
      <c r="G25" s="20" t="str">
        <f aca="false">IF(AND($A25&lt;&gt;"",G$1&lt;&gt;"",24&lt;=IFERROR(VLOOKUP(G$1,الحصص!$A:$F,6,FALSE()),0)),"X","")</f>
        <v/>
      </c>
      <c r="H25" s="20" t="str">
        <f aca="false">IF(AND($A25&lt;&gt;"",H$1&lt;&gt;"",24&lt;=IFERROR(VLOOKUP(H$1,الحصص!$A:$F,6,FALSE()),0)),"X","")</f>
        <v/>
      </c>
      <c r="I25" s="20" t="str">
        <f aca="false">IF(AND($A25&lt;&gt;"",I$1&lt;&gt;"",24&lt;=IFERROR(VLOOKUP(I$1,الحصص!$A:$F,6,FALSE()),0)),"X","")</f>
        <v/>
      </c>
      <c r="J25" s="20" t="str">
        <f aca="false">IF(AND($A25&lt;&gt;"",J$1&lt;&gt;"",24&lt;=IFERROR(VLOOKUP(J$1,الحصص!$A:$F,6,FALSE()),0)),"X","")</f>
        <v/>
      </c>
      <c r="K25" s="20" t="str">
        <f aca="false">IF(AND($A25&lt;&gt;"",K$1&lt;&gt;"",24&lt;=IFERROR(VLOOKUP(K$1,الحصص!$A:$F,6,FALSE()),0)),"X","")</f>
        <v/>
      </c>
      <c r="L25" s="20" t="str">
        <f aca="false">IF(AND($A25&lt;&gt;"",L$1&lt;&gt;"",24&lt;=IFERROR(VLOOKUP(L$1,الحصص!$A:$F,6,FALSE()),0)),"X","")</f>
        <v/>
      </c>
      <c r="M25" s="20" t="str">
        <f aca="false">IF(AND($A25&lt;&gt;"",M$1&lt;&gt;"",24&lt;=IFERROR(VLOOKUP(M$1,الحصص!$A:$F,6,FALSE()),0)),"X","")</f>
        <v/>
      </c>
      <c r="N25" s="20" t="str">
        <f aca="false">IF(AND($A25&lt;&gt;"",N$1&lt;&gt;"",24&lt;=IFERROR(VLOOKUP(N$1,الحصص!$A:$F,6,FALSE()),0)),"X","")</f>
        <v/>
      </c>
      <c r="O25" s="20" t="str">
        <f aca="false">IF(AND($A25&lt;&gt;"",O$1&lt;&gt;"",24&lt;=IFERROR(VLOOKUP(O$1,الحصص!$A:$F,6,FALSE()),0)),"X","")</f>
        <v/>
      </c>
      <c r="P25" s="20" t="str">
        <f aca="false">IF(AND($A25&lt;&gt;"",P$1&lt;&gt;"",24&lt;=IFERROR(VLOOKUP(P$1,الحصص!$A:$F,6,FALSE()),0)),"X","")</f>
        <v/>
      </c>
      <c r="Q25" s="20" t="str">
        <f aca="false">IF(AND($A25&lt;&gt;"",Q$1&lt;&gt;"",24&lt;=IFERROR(VLOOKUP(Q$1,الحصص!$A:$F,6,FALSE()),0)),"X","")</f>
        <v/>
      </c>
      <c r="R25" s="20" t="str">
        <f aca="false">IF(AND($A25&lt;&gt;"",R$1&lt;&gt;"",24&lt;=IFERROR(VLOOKUP(R$1,الحصص!$A:$F,6,FALSE()),0)),"X","")</f>
        <v/>
      </c>
      <c r="S25" s="20" t="str">
        <f aca="false">IF(AND($A25&lt;&gt;"",S$1&lt;&gt;"",24&lt;=IFERROR(VLOOKUP(S$1,الحصص!$A:$F,6,FALSE()),0)),"X","")</f>
        <v/>
      </c>
      <c r="T25" s="20" t="str">
        <f aca="false">IF(AND($A25&lt;&gt;"",T$1&lt;&gt;"",24&lt;=IFERROR(VLOOKUP(T$1,الحصص!$A:$F,6,FALSE()),0)),"X","")</f>
        <v/>
      </c>
      <c r="U25" s="20" t="str">
        <f aca="false">IF(AND($A25&lt;&gt;"",U$1&lt;&gt;"",24&lt;=IFERROR(VLOOKUP(U$1,الحصص!$A:$F,6,FALSE()),0)),"X","")</f>
        <v/>
      </c>
    </row>
    <row r="26" customFormat="false" ht="19.5" hidden="false" customHeight="true" outlineLevel="0" collapsed="false">
      <c r="A26" s="18" t="str">
        <f aca="false">IF(25&lt;=الإعدادات!$C$3,"القاعة "&amp;TEXT(25,"0"),"")</f>
        <v/>
      </c>
      <c r="B26" s="19" t="str">
        <f aca="false">IF(AND($A26&lt;&gt;"",B$1&lt;&gt;"",25&lt;=IFERROR(VLOOKUP(B$1,الحصص!$A:$F,6,FALSE()),0)),"X","")</f>
        <v/>
      </c>
      <c r="C26" s="19" t="str">
        <f aca="false">IF(AND($A26&lt;&gt;"",C$1&lt;&gt;"",25&lt;=IFERROR(VLOOKUP(C$1,الحصص!$A:$F,6,FALSE()),0)),"X","")</f>
        <v/>
      </c>
      <c r="D26" s="19" t="str">
        <f aca="false">IF(AND($A26&lt;&gt;"",D$1&lt;&gt;"",25&lt;=IFERROR(VLOOKUP(D$1,الحصص!$A:$F,6,FALSE()),0)),"X","")</f>
        <v/>
      </c>
      <c r="E26" s="19" t="str">
        <f aca="false">IF(AND($A26&lt;&gt;"",E$1&lt;&gt;"",25&lt;=IFERROR(VLOOKUP(E$1,الحصص!$A:$F,6,FALSE()),0)),"X","")</f>
        <v/>
      </c>
      <c r="F26" s="19" t="str">
        <f aca="false">IF(AND($A26&lt;&gt;"",F$1&lt;&gt;"",25&lt;=IFERROR(VLOOKUP(F$1,الحصص!$A:$F,6,FALSE()),0)),"X","")</f>
        <v/>
      </c>
      <c r="G26" s="19" t="str">
        <f aca="false">IF(AND($A26&lt;&gt;"",G$1&lt;&gt;"",25&lt;=IFERROR(VLOOKUP(G$1,الحصص!$A:$F,6,FALSE()),0)),"X","")</f>
        <v/>
      </c>
      <c r="H26" s="19" t="str">
        <f aca="false">IF(AND($A26&lt;&gt;"",H$1&lt;&gt;"",25&lt;=IFERROR(VLOOKUP(H$1,الحصص!$A:$F,6,FALSE()),0)),"X","")</f>
        <v/>
      </c>
      <c r="I26" s="19" t="str">
        <f aca="false">IF(AND($A26&lt;&gt;"",I$1&lt;&gt;"",25&lt;=IFERROR(VLOOKUP(I$1,الحصص!$A:$F,6,FALSE()),0)),"X","")</f>
        <v/>
      </c>
      <c r="J26" s="19" t="str">
        <f aca="false">IF(AND($A26&lt;&gt;"",J$1&lt;&gt;"",25&lt;=IFERROR(VLOOKUP(J$1,الحصص!$A:$F,6,FALSE()),0)),"X","")</f>
        <v/>
      </c>
      <c r="K26" s="19" t="str">
        <f aca="false">IF(AND($A26&lt;&gt;"",K$1&lt;&gt;"",25&lt;=IFERROR(VLOOKUP(K$1,الحصص!$A:$F,6,FALSE()),0)),"X","")</f>
        <v/>
      </c>
      <c r="L26" s="19" t="str">
        <f aca="false">IF(AND($A26&lt;&gt;"",L$1&lt;&gt;"",25&lt;=IFERROR(VLOOKUP(L$1,الحصص!$A:$F,6,FALSE()),0)),"X","")</f>
        <v/>
      </c>
      <c r="M26" s="19" t="str">
        <f aca="false">IF(AND($A26&lt;&gt;"",M$1&lt;&gt;"",25&lt;=IFERROR(VLOOKUP(M$1,الحصص!$A:$F,6,FALSE()),0)),"X","")</f>
        <v/>
      </c>
      <c r="N26" s="19" t="str">
        <f aca="false">IF(AND($A26&lt;&gt;"",N$1&lt;&gt;"",25&lt;=IFERROR(VLOOKUP(N$1,الحصص!$A:$F,6,FALSE()),0)),"X","")</f>
        <v/>
      </c>
      <c r="O26" s="19" t="str">
        <f aca="false">IF(AND($A26&lt;&gt;"",O$1&lt;&gt;"",25&lt;=IFERROR(VLOOKUP(O$1,الحصص!$A:$F,6,FALSE()),0)),"X","")</f>
        <v/>
      </c>
      <c r="P26" s="19" t="str">
        <f aca="false">IF(AND($A26&lt;&gt;"",P$1&lt;&gt;"",25&lt;=IFERROR(VLOOKUP(P$1,الحصص!$A:$F,6,FALSE()),0)),"X","")</f>
        <v/>
      </c>
      <c r="Q26" s="19" t="str">
        <f aca="false">IF(AND($A26&lt;&gt;"",Q$1&lt;&gt;"",25&lt;=IFERROR(VLOOKUP(Q$1,الحصص!$A:$F,6,FALSE()),0)),"X","")</f>
        <v/>
      </c>
      <c r="R26" s="19" t="str">
        <f aca="false">IF(AND($A26&lt;&gt;"",R$1&lt;&gt;"",25&lt;=IFERROR(VLOOKUP(R$1,الحصص!$A:$F,6,FALSE()),0)),"X","")</f>
        <v/>
      </c>
      <c r="S26" s="19" t="str">
        <f aca="false">IF(AND($A26&lt;&gt;"",S$1&lt;&gt;"",25&lt;=IFERROR(VLOOKUP(S$1,الحصص!$A:$F,6,FALSE()),0)),"X","")</f>
        <v/>
      </c>
      <c r="T26" s="19" t="str">
        <f aca="false">IF(AND($A26&lt;&gt;"",T$1&lt;&gt;"",25&lt;=IFERROR(VLOOKUP(T$1,الحصص!$A:$F,6,FALSE()),0)),"X","")</f>
        <v/>
      </c>
      <c r="U26" s="19" t="str">
        <f aca="false">IF(AND($A26&lt;&gt;"",U$1&lt;&gt;"",25&lt;=IFERROR(VLOOKUP(U$1,الحصص!$A:$F,6,FALSE()),0)),"X","")</f>
        <v/>
      </c>
    </row>
    <row r="27" customFormat="false" ht="19.5" hidden="false" customHeight="true" outlineLevel="0" collapsed="false">
      <c r="A27" s="18" t="str">
        <f aca="false">IF(26&lt;=الإعدادات!$C$3,"القاعة "&amp;TEXT(26,"0"),"")</f>
        <v/>
      </c>
      <c r="B27" s="20" t="str">
        <f aca="false">IF(AND($A27&lt;&gt;"",B$1&lt;&gt;"",26&lt;=IFERROR(VLOOKUP(B$1,الحصص!$A:$F,6,FALSE()),0)),"X","")</f>
        <v/>
      </c>
      <c r="C27" s="20" t="str">
        <f aca="false">IF(AND($A27&lt;&gt;"",C$1&lt;&gt;"",26&lt;=IFERROR(VLOOKUP(C$1,الحصص!$A:$F,6,FALSE()),0)),"X","")</f>
        <v/>
      </c>
      <c r="D27" s="20" t="str">
        <f aca="false">IF(AND($A27&lt;&gt;"",D$1&lt;&gt;"",26&lt;=IFERROR(VLOOKUP(D$1,الحصص!$A:$F,6,FALSE()),0)),"X","")</f>
        <v/>
      </c>
      <c r="E27" s="20" t="str">
        <f aca="false">IF(AND($A27&lt;&gt;"",E$1&lt;&gt;"",26&lt;=IFERROR(VLOOKUP(E$1,الحصص!$A:$F,6,FALSE()),0)),"X","")</f>
        <v/>
      </c>
      <c r="F27" s="20" t="str">
        <f aca="false">IF(AND($A27&lt;&gt;"",F$1&lt;&gt;"",26&lt;=IFERROR(VLOOKUP(F$1,الحصص!$A:$F,6,FALSE()),0)),"X","")</f>
        <v/>
      </c>
      <c r="G27" s="20" t="str">
        <f aca="false">IF(AND($A27&lt;&gt;"",G$1&lt;&gt;"",26&lt;=IFERROR(VLOOKUP(G$1,الحصص!$A:$F,6,FALSE()),0)),"X","")</f>
        <v/>
      </c>
      <c r="H27" s="20" t="str">
        <f aca="false">IF(AND($A27&lt;&gt;"",H$1&lt;&gt;"",26&lt;=IFERROR(VLOOKUP(H$1,الحصص!$A:$F,6,FALSE()),0)),"X","")</f>
        <v/>
      </c>
      <c r="I27" s="20" t="str">
        <f aca="false">IF(AND($A27&lt;&gt;"",I$1&lt;&gt;"",26&lt;=IFERROR(VLOOKUP(I$1,الحصص!$A:$F,6,FALSE()),0)),"X","")</f>
        <v/>
      </c>
      <c r="J27" s="20" t="str">
        <f aca="false">IF(AND($A27&lt;&gt;"",J$1&lt;&gt;"",26&lt;=IFERROR(VLOOKUP(J$1,الحصص!$A:$F,6,FALSE()),0)),"X","")</f>
        <v/>
      </c>
      <c r="K27" s="20" t="str">
        <f aca="false">IF(AND($A27&lt;&gt;"",K$1&lt;&gt;"",26&lt;=IFERROR(VLOOKUP(K$1,الحصص!$A:$F,6,FALSE()),0)),"X","")</f>
        <v/>
      </c>
      <c r="L27" s="20" t="str">
        <f aca="false">IF(AND($A27&lt;&gt;"",L$1&lt;&gt;"",26&lt;=IFERROR(VLOOKUP(L$1,الحصص!$A:$F,6,FALSE()),0)),"X","")</f>
        <v/>
      </c>
      <c r="M27" s="20" t="str">
        <f aca="false">IF(AND($A27&lt;&gt;"",M$1&lt;&gt;"",26&lt;=IFERROR(VLOOKUP(M$1,الحصص!$A:$F,6,FALSE()),0)),"X","")</f>
        <v/>
      </c>
      <c r="N27" s="20" t="str">
        <f aca="false">IF(AND($A27&lt;&gt;"",N$1&lt;&gt;"",26&lt;=IFERROR(VLOOKUP(N$1,الحصص!$A:$F,6,FALSE()),0)),"X","")</f>
        <v/>
      </c>
      <c r="O27" s="20" t="str">
        <f aca="false">IF(AND($A27&lt;&gt;"",O$1&lt;&gt;"",26&lt;=IFERROR(VLOOKUP(O$1,الحصص!$A:$F,6,FALSE()),0)),"X","")</f>
        <v/>
      </c>
      <c r="P27" s="20" t="str">
        <f aca="false">IF(AND($A27&lt;&gt;"",P$1&lt;&gt;"",26&lt;=IFERROR(VLOOKUP(P$1,الحصص!$A:$F,6,FALSE()),0)),"X","")</f>
        <v/>
      </c>
      <c r="Q27" s="20" t="str">
        <f aca="false">IF(AND($A27&lt;&gt;"",Q$1&lt;&gt;"",26&lt;=IFERROR(VLOOKUP(Q$1,الحصص!$A:$F,6,FALSE()),0)),"X","")</f>
        <v/>
      </c>
      <c r="R27" s="20" t="str">
        <f aca="false">IF(AND($A27&lt;&gt;"",R$1&lt;&gt;"",26&lt;=IFERROR(VLOOKUP(R$1,الحصص!$A:$F,6,FALSE()),0)),"X","")</f>
        <v/>
      </c>
      <c r="S27" s="20" t="str">
        <f aca="false">IF(AND($A27&lt;&gt;"",S$1&lt;&gt;"",26&lt;=IFERROR(VLOOKUP(S$1,الحصص!$A:$F,6,FALSE()),0)),"X","")</f>
        <v/>
      </c>
      <c r="T27" s="20" t="str">
        <f aca="false">IF(AND($A27&lt;&gt;"",T$1&lt;&gt;"",26&lt;=IFERROR(VLOOKUP(T$1,الحصص!$A:$F,6,FALSE()),0)),"X","")</f>
        <v/>
      </c>
      <c r="U27" s="20" t="str">
        <f aca="false">IF(AND($A27&lt;&gt;"",U$1&lt;&gt;"",26&lt;=IFERROR(VLOOKUP(U$1,الحصص!$A:$F,6,FALSE()),0)),"X","")</f>
        <v/>
      </c>
    </row>
    <row r="28" customFormat="false" ht="19.5" hidden="false" customHeight="true" outlineLevel="0" collapsed="false">
      <c r="A28" s="18" t="str">
        <f aca="false">IF(27&lt;=الإعدادات!$C$3,"القاعة "&amp;TEXT(27,"0"),"")</f>
        <v/>
      </c>
      <c r="B28" s="19" t="str">
        <f aca="false">IF(AND($A28&lt;&gt;"",B$1&lt;&gt;"",27&lt;=IFERROR(VLOOKUP(B$1,الحصص!$A:$F,6,FALSE()),0)),"X","")</f>
        <v/>
      </c>
      <c r="C28" s="19" t="str">
        <f aca="false">IF(AND($A28&lt;&gt;"",C$1&lt;&gt;"",27&lt;=IFERROR(VLOOKUP(C$1,الحصص!$A:$F,6,FALSE()),0)),"X","")</f>
        <v/>
      </c>
      <c r="D28" s="19" t="str">
        <f aca="false">IF(AND($A28&lt;&gt;"",D$1&lt;&gt;"",27&lt;=IFERROR(VLOOKUP(D$1,الحصص!$A:$F,6,FALSE()),0)),"X","")</f>
        <v/>
      </c>
      <c r="E28" s="19" t="str">
        <f aca="false">IF(AND($A28&lt;&gt;"",E$1&lt;&gt;"",27&lt;=IFERROR(VLOOKUP(E$1,الحصص!$A:$F,6,FALSE()),0)),"X","")</f>
        <v/>
      </c>
      <c r="F28" s="19" t="str">
        <f aca="false">IF(AND($A28&lt;&gt;"",F$1&lt;&gt;"",27&lt;=IFERROR(VLOOKUP(F$1,الحصص!$A:$F,6,FALSE()),0)),"X","")</f>
        <v/>
      </c>
      <c r="G28" s="19" t="str">
        <f aca="false">IF(AND($A28&lt;&gt;"",G$1&lt;&gt;"",27&lt;=IFERROR(VLOOKUP(G$1,الحصص!$A:$F,6,FALSE()),0)),"X","")</f>
        <v/>
      </c>
      <c r="H28" s="19" t="str">
        <f aca="false">IF(AND($A28&lt;&gt;"",H$1&lt;&gt;"",27&lt;=IFERROR(VLOOKUP(H$1,الحصص!$A:$F,6,FALSE()),0)),"X","")</f>
        <v/>
      </c>
      <c r="I28" s="19" t="str">
        <f aca="false">IF(AND($A28&lt;&gt;"",I$1&lt;&gt;"",27&lt;=IFERROR(VLOOKUP(I$1,الحصص!$A:$F,6,FALSE()),0)),"X","")</f>
        <v/>
      </c>
      <c r="J28" s="19" t="str">
        <f aca="false">IF(AND($A28&lt;&gt;"",J$1&lt;&gt;"",27&lt;=IFERROR(VLOOKUP(J$1,الحصص!$A:$F,6,FALSE()),0)),"X","")</f>
        <v/>
      </c>
      <c r="K28" s="19" t="str">
        <f aca="false">IF(AND($A28&lt;&gt;"",K$1&lt;&gt;"",27&lt;=IFERROR(VLOOKUP(K$1,الحصص!$A:$F,6,FALSE()),0)),"X","")</f>
        <v/>
      </c>
      <c r="L28" s="19" t="str">
        <f aca="false">IF(AND($A28&lt;&gt;"",L$1&lt;&gt;"",27&lt;=IFERROR(VLOOKUP(L$1,الحصص!$A:$F,6,FALSE()),0)),"X","")</f>
        <v/>
      </c>
      <c r="M28" s="19" t="str">
        <f aca="false">IF(AND($A28&lt;&gt;"",M$1&lt;&gt;"",27&lt;=IFERROR(VLOOKUP(M$1,الحصص!$A:$F,6,FALSE()),0)),"X","")</f>
        <v/>
      </c>
      <c r="N28" s="19" t="str">
        <f aca="false">IF(AND($A28&lt;&gt;"",N$1&lt;&gt;"",27&lt;=IFERROR(VLOOKUP(N$1,الحصص!$A:$F,6,FALSE()),0)),"X","")</f>
        <v/>
      </c>
      <c r="O28" s="19" t="str">
        <f aca="false">IF(AND($A28&lt;&gt;"",O$1&lt;&gt;"",27&lt;=IFERROR(VLOOKUP(O$1,الحصص!$A:$F,6,FALSE()),0)),"X","")</f>
        <v/>
      </c>
      <c r="P28" s="19" t="str">
        <f aca="false">IF(AND($A28&lt;&gt;"",P$1&lt;&gt;"",27&lt;=IFERROR(VLOOKUP(P$1,الحصص!$A:$F,6,FALSE()),0)),"X","")</f>
        <v/>
      </c>
      <c r="Q28" s="19" t="str">
        <f aca="false">IF(AND($A28&lt;&gt;"",Q$1&lt;&gt;"",27&lt;=IFERROR(VLOOKUP(Q$1,الحصص!$A:$F,6,FALSE()),0)),"X","")</f>
        <v/>
      </c>
      <c r="R28" s="19" t="str">
        <f aca="false">IF(AND($A28&lt;&gt;"",R$1&lt;&gt;"",27&lt;=IFERROR(VLOOKUP(R$1,الحصص!$A:$F,6,FALSE()),0)),"X","")</f>
        <v/>
      </c>
      <c r="S28" s="19" t="str">
        <f aca="false">IF(AND($A28&lt;&gt;"",S$1&lt;&gt;"",27&lt;=IFERROR(VLOOKUP(S$1,الحصص!$A:$F,6,FALSE()),0)),"X","")</f>
        <v/>
      </c>
      <c r="T28" s="19" t="str">
        <f aca="false">IF(AND($A28&lt;&gt;"",T$1&lt;&gt;"",27&lt;=IFERROR(VLOOKUP(T$1,الحصص!$A:$F,6,FALSE()),0)),"X","")</f>
        <v/>
      </c>
      <c r="U28" s="19" t="str">
        <f aca="false">IF(AND($A28&lt;&gt;"",U$1&lt;&gt;"",27&lt;=IFERROR(VLOOKUP(U$1,الحصص!$A:$F,6,FALSE()),0)),"X","")</f>
        <v/>
      </c>
    </row>
    <row r="29" customFormat="false" ht="19.5" hidden="false" customHeight="true" outlineLevel="0" collapsed="false">
      <c r="A29" s="18" t="str">
        <f aca="false">IF(28&lt;=الإعدادات!$C$3,"القاعة "&amp;TEXT(28,"0"),"")</f>
        <v/>
      </c>
      <c r="B29" s="20" t="str">
        <f aca="false">IF(AND($A29&lt;&gt;"",B$1&lt;&gt;"",28&lt;=IFERROR(VLOOKUP(B$1,الحصص!$A:$F,6,FALSE()),0)),"X","")</f>
        <v/>
      </c>
      <c r="C29" s="20" t="str">
        <f aca="false">IF(AND($A29&lt;&gt;"",C$1&lt;&gt;"",28&lt;=IFERROR(VLOOKUP(C$1,الحصص!$A:$F,6,FALSE()),0)),"X","")</f>
        <v/>
      </c>
      <c r="D29" s="20" t="str">
        <f aca="false">IF(AND($A29&lt;&gt;"",D$1&lt;&gt;"",28&lt;=IFERROR(VLOOKUP(D$1,الحصص!$A:$F,6,FALSE()),0)),"X","")</f>
        <v/>
      </c>
      <c r="E29" s="20" t="str">
        <f aca="false">IF(AND($A29&lt;&gt;"",E$1&lt;&gt;"",28&lt;=IFERROR(VLOOKUP(E$1,الحصص!$A:$F,6,FALSE()),0)),"X","")</f>
        <v/>
      </c>
      <c r="F29" s="20" t="str">
        <f aca="false">IF(AND($A29&lt;&gt;"",F$1&lt;&gt;"",28&lt;=IFERROR(VLOOKUP(F$1,الحصص!$A:$F,6,FALSE()),0)),"X","")</f>
        <v/>
      </c>
      <c r="G29" s="20" t="str">
        <f aca="false">IF(AND($A29&lt;&gt;"",G$1&lt;&gt;"",28&lt;=IFERROR(VLOOKUP(G$1,الحصص!$A:$F,6,FALSE()),0)),"X","")</f>
        <v/>
      </c>
      <c r="H29" s="20" t="str">
        <f aca="false">IF(AND($A29&lt;&gt;"",H$1&lt;&gt;"",28&lt;=IFERROR(VLOOKUP(H$1,الحصص!$A:$F,6,FALSE()),0)),"X","")</f>
        <v/>
      </c>
      <c r="I29" s="20" t="str">
        <f aca="false">IF(AND($A29&lt;&gt;"",I$1&lt;&gt;"",28&lt;=IFERROR(VLOOKUP(I$1,الحصص!$A:$F,6,FALSE()),0)),"X","")</f>
        <v/>
      </c>
      <c r="J29" s="20" t="str">
        <f aca="false">IF(AND($A29&lt;&gt;"",J$1&lt;&gt;"",28&lt;=IFERROR(VLOOKUP(J$1,الحصص!$A:$F,6,FALSE()),0)),"X","")</f>
        <v/>
      </c>
      <c r="K29" s="20" t="str">
        <f aca="false">IF(AND($A29&lt;&gt;"",K$1&lt;&gt;"",28&lt;=IFERROR(VLOOKUP(K$1,الحصص!$A:$F,6,FALSE()),0)),"X","")</f>
        <v/>
      </c>
      <c r="L29" s="20" t="str">
        <f aca="false">IF(AND($A29&lt;&gt;"",L$1&lt;&gt;"",28&lt;=IFERROR(VLOOKUP(L$1,الحصص!$A:$F,6,FALSE()),0)),"X","")</f>
        <v/>
      </c>
      <c r="M29" s="20" t="str">
        <f aca="false">IF(AND($A29&lt;&gt;"",M$1&lt;&gt;"",28&lt;=IFERROR(VLOOKUP(M$1,الحصص!$A:$F,6,FALSE()),0)),"X","")</f>
        <v/>
      </c>
      <c r="N29" s="20" t="str">
        <f aca="false">IF(AND($A29&lt;&gt;"",N$1&lt;&gt;"",28&lt;=IFERROR(VLOOKUP(N$1,الحصص!$A:$F,6,FALSE()),0)),"X","")</f>
        <v/>
      </c>
      <c r="O29" s="20" t="str">
        <f aca="false">IF(AND($A29&lt;&gt;"",O$1&lt;&gt;"",28&lt;=IFERROR(VLOOKUP(O$1,الحصص!$A:$F,6,FALSE()),0)),"X","")</f>
        <v/>
      </c>
      <c r="P29" s="20" t="str">
        <f aca="false">IF(AND($A29&lt;&gt;"",P$1&lt;&gt;"",28&lt;=IFERROR(VLOOKUP(P$1,الحصص!$A:$F,6,FALSE()),0)),"X","")</f>
        <v/>
      </c>
      <c r="Q29" s="20" t="str">
        <f aca="false">IF(AND($A29&lt;&gt;"",Q$1&lt;&gt;"",28&lt;=IFERROR(VLOOKUP(Q$1,الحصص!$A:$F,6,FALSE()),0)),"X","")</f>
        <v/>
      </c>
      <c r="R29" s="20" t="str">
        <f aca="false">IF(AND($A29&lt;&gt;"",R$1&lt;&gt;"",28&lt;=IFERROR(VLOOKUP(R$1,الحصص!$A:$F,6,FALSE()),0)),"X","")</f>
        <v/>
      </c>
      <c r="S29" s="20" t="str">
        <f aca="false">IF(AND($A29&lt;&gt;"",S$1&lt;&gt;"",28&lt;=IFERROR(VLOOKUP(S$1,الحصص!$A:$F,6,FALSE()),0)),"X","")</f>
        <v/>
      </c>
      <c r="T29" s="20" t="str">
        <f aca="false">IF(AND($A29&lt;&gt;"",T$1&lt;&gt;"",28&lt;=IFERROR(VLOOKUP(T$1,الحصص!$A:$F,6,FALSE()),0)),"X","")</f>
        <v/>
      </c>
      <c r="U29" s="20" t="str">
        <f aca="false">IF(AND($A29&lt;&gt;"",U$1&lt;&gt;"",28&lt;=IFERROR(VLOOKUP(U$1,الحصص!$A:$F,6,FALSE()),0)),"X","")</f>
        <v/>
      </c>
    </row>
    <row r="30" customFormat="false" ht="19.5" hidden="false" customHeight="true" outlineLevel="0" collapsed="false">
      <c r="A30" s="18" t="str">
        <f aca="false">IF(29&lt;=الإعدادات!$C$3,"القاعة "&amp;TEXT(29,"0"),"")</f>
        <v/>
      </c>
      <c r="B30" s="19" t="str">
        <f aca="false">IF(AND($A30&lt;&gt;"",B$1&lt;&gt;"",29&lt;=IFERROR(VLOOKUP(B$1,الحصص!$A:$F,6,FALSE()),0)),"X","")</f>
        <v/>
      </c>
      <c r="C30" s="19" t="str">
        <f aca="false">IF(AND($A30&lt;&gt;"",C$1&lt;&gt;"",29&lt;=IFERROR(VLOOKUP(C$1,الحصص!$A:$F,6,FALSE()),0)),"X","")</f>
        <v/>
      </c>
      <c r="D30" s="19" t="str">
        <f aca="false">IF(AND($A30&lt;&gt;"",D$1&lt;&gt;"",29&lt;=IFERROR(VLOOKUP(D$1,الحصص!$A:$F,6,FALSE()),0)),"X","")</f>
        <v/>
      </c>
      <c r="E30" s="19" t="str">
        <f aca="false">IF(AND($A30&lt;&gt;"",E$1&lt;&gt;"",29&lt;=IFERROR(VLOOKUP(E$1,الحصص!$A:$F,6,FALSE()),0)),"X","")</f>
        <v/>
      </c>
      <c r="F30" s="19" t="str">
        <f aca="false">IF(AND($A30&lt;&gt;"",F$1&lt;&gt;"",29&lt;=IFERROR(VLOOKUP(F$1,الحصص!$A:$F,6,FALSE()),0)),"X","")</f>
        <v/>
      </c>
      <c r="G30" s="19" t="str">
        <f aca="false">IF(AND($A30&lt;&gt;"",G$1&lt;&gt;"",29&lt;=IFERROR(VLOOKUP(G$1,الحصص!$A:$F,6,FALSE()),0)),"X","")</f>
        <v/>
      </c>
      <c r="H30" s="19" t="str">
        <f aca="false">IF(AND($A30&lt;&gt;"",H$1&lt;&gt;"",29&lt;=IFERROR(VLOOKUP(H$1,الحصص!$A:$F,6,FALSE()),0)),"X","")</f>
        <v/>
      </c>
      <c r="I30" s="19" t="str">
        <f aca="false">IF(AND($A30&lt;&gt;"",I$1&lt;&gt;"",29&lt;=IFERROR(VLOOKUP(I$1,الحصص!$A:$F,6,FALSE()),0)),"X","")</f>
        <v/>
      </c>
      <c r="J30" s="19" t="str">
        <f aca="false">IF(AND($A30&lt;&gt;"",J$1&lt;&gt;"",29&lt;=IFERROR(VLOOKUP(J$1,الحصص!$A:$F,6,FALSE()),0)),"X","")</f>
        <v/>
      </c>
      <c r="K30" s="19" t="str">
        <f aca="false">IF(AND($A30&lt;&gt;"",K$1&lt;&gt;"",29&lt;=IFERROR(VLOOKUP(K$1,الحصص!$A:$F,6,FALSE()),0)),"X","")</f>
        <v/>
      </c>
      <c r="L30" s="19" t="str">
        <f aca="false">IF(AND($A30&lt;&gt;"",L$1&lt;&gt;"",29&lt;=IFERROR(VLOOKUP(L$1,الحصص!$A:$F,6,FALSE()),0)),"X","")</f>
        <v/>
      </c>
      <c r="M30" s="19" t="str">
        <f aca="false">IF(AND($A30&lt;&gt;"",M$1&lt;&gt;"",29&lt;=IFERROR(VLOOKUP(M$1,الحصص!$A:$F,6,FALSE()),0)),"X","")</f>
        <v/>
      </c>
      <c r="N30" s="19" t="str">
        <f aca="false">IF(AND($A30&lt;&gt;"",N$1&lt;&gt;"",29&lt;=IFERROR(VLOOKUP(N$1,الحصص!$A:$F,6,FALSE()),0)),"X","")</f>
        <v/>
      </c>
      <c r="O30" s="19" t="str">
        <f aca="false">IF(AND($A30&lt;&gt;"",O$1&lt;&gt;"",29&lt;=IFERROR(VLOOKUP(O$1,الحصص!$A:$F,6,FALSE()),0)),"X","")</f>
        <v/>
      </c>
      <c r="P30" s="19" t="str">
        <f aca="false">IF(AND($A30&lt;&gt;"",P$1&lt;&gt;"",29&lt;=IFERROR(VLOOKUP(P$1,الحصص!$A:$F,6,FALSE()),0)),"X","")</f>
        <v/>
      </c>
      <c r="Q30" s="19" t="str">
        <f aca="false">IF(AND($A30&lt;&gt;"",Q$1&lt;&gt;"",29&lt;=IFERROR(VLOOKUP(Q$1,الحصص!$A:$F,6,FALSE()),0)),"X","")</f>
        <v/>
      </c>
      <c r="R30" s="19" t="str">
        <f aca="false">IF(AND($A30&lt;&gt;"",R$1&lt;&gt;"",29&lt;=IFERROR(VLOOKUP(R$1,الحصص!$A:$F,6,FALSE()),0)),"X","")</f>
        <v/>
      </c>
      <c r="S30" s="19" t="str">
        <f aca="false">IF(AND($A30&lt;&gt;"",S$1&lt;&gt;"",29&lt;=IFERROR(VLOOKUP(S$1,الحصص!$A:$F,6,FALSE()),0)),"X","")</f>
        <v/>
      </c>
      <c r="T30" s="19" t="str">
        <f aca="false">IF(AND($A30&lt;&gt;"",T$1&lt;&gt;"",29&lt;=IFERROR(VLOOKUP(T$1,الحصص!$A:$F,6,FALSE()),0)),"X","")</f>
        <v/>
      </c>
      <c r="U30" s="19" t="str">
        <f aca="false">IF(AND($A30&lt;&gt;"",U$1&lt;&gt;"",29&lt;=IFERROR(VLOOKUP(U$1,الحصص!$A:$F,6,FALSE()),0)),"X","")</f>
        <v/>
      </c>
    </row>
    <row r="31" customFormat="false" ht="19.5" hidden="false" customHeight="true" outlineLevel="0" collapsed="false">
      <c r="A31" s="18" t="str">
        <f aca="false">IF(30&lt;=الإعدادات!$C$3,"القاعة "&amp;TEXT(30,"0"),"")</f>
        <v/>
      </c>
      <c r="B31" s="20" t="str">
        <f aca="false">IF(AND($A31&lt;&gt;"",B$1&lt;&gt;"",30&lt;=IFERROR(VLOOKUP(B$1,الحصص!$A:$F,6,FALSE()),0)),"X","")</f>
        <v/>
      </c>
      <c r="C31" s="20" t="str">
        <f aca="false">IF(AND($A31&lt;&gt;"",C$1&lt;&gt;"",30&lt;=IFERROR(VLOOKUP(C$1,الحصص!$A:$F,6,FALSE()),0)),"X","")</f>
        <v/>
      </c>
      <c r="D31" s="20" t="str">
        <f aca="false">IF(AND($A31&lt;&gt;"",D$1&lt;&gt;"",30&lt;=IFERROR(VLOOKUP(D$1,الحصص!$A:$F,6,FALSE()),0)),"X","")</f>
        <v/>
      </c>
      <c r="E31" s="20" t="str">
        <f aca="false">IF(AND($A31&lt;&gt;"",E$1&lt;&gt;"",30&lt;=IFERROR(VLOOKUP(E$1,الحصص!$A:$F,6,FALSE()),0)),"X","")</f>
        <v/>
      </c>
      <c r="F31" s="20" t="str">
        <f aca="false">IF(AND($A31&lt;&gt;"",F$1&lt;&gt;"",30&lt;=IFERROR(VLOOKUP(F$1,الحصص!$A:$F,6,FALSE()),0)),"X","")</f>
        <v/>
      </c>
      <c r="G31" s="20" t="str">
        <f aca="false">IF(AND($A31&lt;&gt;"",G$1&lt;&gt;"",30&lt;=IFERROR(VLOOKUP(G$1,الحصص!$A:$F,6,FALSE()),0)),"X","")</f>
        <v/>
      </c>
      <c r="H31" s="20" t="str">
        <f aca="false">IF(AND($A31&lt;&gt;"",H$1&lt;&gt;"",30&lt;=IFERROR(VLOOKUP(H$1,الحصص!$A:$F,6,FALSE()),0)),"X","")</f>
        <v/>
      </c>
      <c r="I31" s="20" t="str">
        <f aca="false">IF(AND($A31&lt;&gt;"",I$1&lt;&gt;"",30&lt;=IFERROR(VLOOKUP(I$1,الحصص!$A:$F,6,FALSE()),0)),"X","")</f>
        <v/>
      </c>
      <c r="J31" s="20" t="str">
        <f aca="false">IF(AND($A31&lt;&gt;"",J$1&lt;&gt;"",30&lt;=IFERROR(VLOOKUP(J$1,الحصص!$A:$F,6,FALSE()),0)),"X","")</f>
        <v/>
      </c>
      <c r="K31" s="20" t="str">
        <f aca="false">IF(AND($A31&lt;&gt;"",K$1&lt;&gt;"",30&lt;=IFERROR(VLOOKUP(K$1,الحصص!$A:$F,6,FALSE()),0)),"X","")</f>
        <v/>
      </c>
      <c r="L31" s="20" t="str">
        <f aca="false">IF(AND($A31&lt;&gt;"",L$1&lt;&gt;"",30&lt;=IFERROR(VLOOKUP(L$1,الحصص!$A:$F,6,FALSE()),0)),"X","")</f>
        <v/>
      </c>
      <c r="M31" s="20" t="str">
        <f aca="false">IF(AND($A31&lt;&gt;"",M$1&lt;&gt;"",30&lt;=IFERROR(VLOOKUP(M$1,الحصص!$A:$F,6,FALSE()),0)),"X","")</f>
        <v/>
      </c>
      <c r="N31" s="20" t="str">
        <f aca="false">IF(AND($A31&lt;&gt;"",N$1&lt;&gt;"",30&lt;=IFERROR(VLOOKUP(N$1,الحصص!$A:$F,6,FALSE()),0)),"X","")</f>
        <v/>
      </c>
      <c r="O31" s="20" t="str">
        <f aca="false">IF(AND($A31&lt;&gt;"",O$1&lt;&gt;"",30&lt;=IFERROR(VLOOKUP(O$1,الحصص!$A:$F,6,FALSE()),0)),"X","")</f>
        <v/>
      </c>
      <c r="P31" s="20" t="str">
        <f aca="false">IF(AND($A31&lt;&gt;"",P$1&lt;&gt;"",30&lt;=IFERROR(VLOOKUP(P$1,الحصص!$A:$F,6,FALSE()),0)),"X","")</f>
        <v/>
      </c>
      <c r="Q31" s="20" t="str">
        <f aca="false">IF(AND($A31&lt;&gt;"",Q$1&lt;&gt;"",30&lt;=IFERROR(VLOOKUP(Q$1,الحصص!$A:$F,6,FALSE()),0)),"X","")</f>
        <v/>
      </c>
      <c r="R31" s="20" t="str">
        <f aca="false">IF(AND($A31&lt;&gt;"",R$1&lt;&gt;"",30&lt;=IFERROR(VLOOKUP(R$1,الحصص!$A:$F,6,FALSE()),0)),"X","")</f>
        <v/>
      </c>
      <c r="S31" s="20" t="str">
        <f aca="false">IF(AND($A31&lt;&gt;"",S$1&lt;&gt;"",30&lt;=IFERROR(VLOOKUP(S$1,الحصص!$A:$F,6,FALSE()),0)),"X","")</f>
        <v/>
      </c>
      <c r="T31" s="20" t="str">
        <f aca="false">IF(AND($A31&lt;&gt;"",T$1&lt;&gt;"",30&lt;=IFERROR(VLOOKUP(T$1,الحصص!$A:$F,6,FALSE()),0)),"X","")</f>
        <v/>
      </c>
      <c r="U31" s="20" t="str">
        <f aca="false">IF(AND($A31&lt;&gt;"",U$1&lt;&gt;"",30&lt;=IFERROR(VLOOKUP(U$1,الحصص!$A:$F,6,FALSE()),0)),"X","")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2026-05-12T09:06:37Z</dcterms:created>
  <dc:creator>openpyxl</dc:creator>
  <dc:description/>
  <dc:language>en-US</dc:language>
  <cp:lastModifiedBy/>
  <dcterms:modified xsi:type="dcterms:W3CDTF">2026-05-12T09:06:37Z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