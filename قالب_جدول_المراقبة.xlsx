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📖 تعليمات" sheetId="1" state="visible" r:id="rId1"/>
    <sheet xmlns:r="http://schemas.openxmlformats.org/officeDocument/2006/relationships" name="الإعدادات" sheetId="2" state="visible" r:id="rId2"/>
    <sheet xmlns:r="http://schemas.openxmlformats.org/officeDocument/2006/relationships" name="الحصص" sheetId="3" state="visible" r:id="rId3"/>
    <sheet xmlns:r="http://schemas.openxmlformats.org/officeDocument/2006/relationships" name="الأساتذة" sheetId="4" state="visible" r:id="rId4"/>
    <sheet xmlns:r="http://schemas.openxmlformats.org/officeDocument/2006/relationships" name="المصفوفة" sheetId="5" state="visible" r:id="rId5"/>
    <sheet xmlns:r="http://schemas.openxmlformats.org/officeDocument/2006/relationships" name="المداومون" sheetId="6" state="visible" r:id="rId6"/>
    <sheet xmlns:r="http://schemas.openxmlformats.org/officeDocument/2006/relationships" name="قوائم_المواد" sheetId="7" state="hidden" r:id="rId7"/>
  </sheets>
  <definedNames>
    <definedName name="Profs_الاقتصاد">'قوائم_المواد'!$A$2:$A$4</definedName>
    <definedName name="Profs_التاريخ_والجغرافيا">'قوائم_المواد'!$B$2:$B$4</definedName>
    <definedName name="Profs_الترجمة">'قوائم_المواد'!$C$2:$C$6</definedName>
    <definedName name="Profs_الرياضيات">'قوائم_المواد'!$D$2:$D$7</definedName>
    <definedName name="Profs_الفيزياء_والكيمياء">'قوائم_المواد'!$E$2:$E$7</definedName>
    <definedName name="Profs_اللغة_الإنجليزية">'قوائم_المواد'!$F$2:$F$6</definedName>
    <definedName name="Profs_اللغة_العربية">'قوائم_المواد'!$G$2:$G$7</definedName>
    <definedName name="Profs_اللغة_الفرنسية">'قوائم_المواد'!$H$2:$H$7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sz val="10"/>
    </font>
    <font>
      <name val="Arial"/>
      <charset val="1"/>
      <family val="0"/>
      <b val="1"/>
      <color rgb="FF1D4ED8"/>
      <sz val="11"/>
    </font>
    <font>
      <name val="Arial"/>
      <charset val="1"/>
      <family val="0"/>
      <b val="1"/>
      <color rgb="FF16653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color rgb="FF166534"/>
      <sz val="10"/>
    </font>
    <font>
      <name val="Arial"/>
      <charset val="1"/>
      <family val="0"/>
      <b val="1"/>
      <color rgb="FF92400E"/>
      <sz val="9"/>
    </font>
    <font>
      <name val="FreeSans"/>
      <family val="2"/>
      <sz val="10"/>
    </font>
    <font>
      <name val="Arial"/>
      <family val="2"/>
      <sz val="10"/>
    </font>
    <font>
      <name val="Arial"/>
      <charset val="1"/>
      <family val="0"/>
      <color rgb="FF1D4ED8"/>
      <sz val="10"/>
    </font>
    <font>
      <name val="Arial"/>
      <charset val="1"/>
      <family val="0"/>
      <b val="1"/>
      <color rgb="FF0F1E3C"/>
      <sz val="10"/>
    </font>
    <font>
      <name val="Arial"/>
      <b val="1"/>
      <sz val="9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166534"/>
      <sz val="10"/>
    </font>
    <font>
      <name val="Arial"/>
      <color rgb="00374151"/>
      <sz val="10"/>
    </font>
    <font>
      <name val="Arial"/>
      <b val="1"/>
      <color rgb="000369A1"/>
      <sz val="10"/>
    </font>
    <font>
      <name val="Arial"/>
      <b val="1"/>
      <color rgb="001D4ED8"/>
      <sz val="11"/>
    </font>
    <font>
      <name val="Arial"/>
      <i val="1"/>
      <color rgb="0092400E"/>
      <sz val="9"/>
    </font>
  </fonts>
  <fills count="17">
    <fill>
      <patternFill/>
    </fill>
    <fill>
      <patternFill patternType="gray125"/>
    </fill>
    <fill>
      <patternFill patternType="solid">
        <fgColor rgb="FF0F1E3C"/>
        <bgColor rgb="FF333333"/>
      </patternFill>
    </fill>
    <fill>
      <patternFill patternType="solid">
        <fgColor rgb="FFC9963A"/>
        <bgColor rgb="FFFF8080"/>
      </patternFill>
    </fill>
    <fill>
      <patternFill patternType="solid">
        <fgColor rgb="FFFEF9EE"/>
        <bgColor rgb="FFF8FAFC"/>
      </patternFill>
    </fill>
    <fill>
      <patternFill patternType="solid">
        <fgColor rgb="FFEFF6FF"/>
        <bgColor rgb="FFF8F9FF"/>
      </patternFill>
    </fill>
    <fill>
      <patternFill patternType="solid">
        <fgColor rgb="FFDCFCE7"/>
        <bgColor rgb="FFF0FDF4"/>
      </patternFill>
    </fill>
    <fill>
      <patternFill patternType="solid">
        <fgColor rgb="FFF0FDF4"/>
        <bgColor rgb="FFF8FAFC"/>
      </patternFill>
    </fill>
    <fill>
      <patternFill patternType="solid">
        <fgColor rgb="FFFFF3CD"/>
        <bgColor rgb="FFFEF9EE"/>
      </patternFill>
    </fill>
    <fill>
      <patternFill patternType="solid">
        <fgColor rgb="FFF8F9FF"/>
        <bgColor rgb="FFF8FAFC"/>
      </patternFill>
    </fill>
    <fill>
      <patternFill patternType="solid">
        <fgColor rgb="FFF8FAFC"/>
        <bgColor rgb="FFF8F9FF"/>
      </patternFill>
    </fill>
    <fill>
      <patternFill patternType="solid">
        <fgColor rgb="000F1E3C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E0F2FE"/>
      </patternFill>
    </fill>
    <fill>
      <patternFill patternType="solid">
        <fgColor rgb="00EFF6FF"/>
      </patternFill>
    </fill>
    <fill>
      <patternFill patternType="solid">
        <fgColor rgb="00FFF3CD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 style="thin"/>
      <right/>
      <top style="thin"/>
      <bottom/>
      <diagonal/>
    </border>
    <border>
      <left/>
      <right/>
      <top style="medium"/>
      <bottom/>
      <diagonal/>
    </border>
    <border>
      <left/>
      <right/>
      <top style="medium"/>
      <bottom style="medium"/>
      <diagonal/>
    </border>
    <border>
      <left/>
      <right/>
      <top style="thin"/>
      <bottom/>
      <diagonal/>
    </border>
    <border>
      <left style="thin"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right" vertical="center" wrapText="1"/>
    </xf>
    <xf numFmtId="0" fontId="5" fillId="3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right" vertical="center" wrapText="1"/>
    </xf>
    <xf numFmtId="0" fontId="8" fillId="6" borderId="1" applyAlignment="1" pivotButton="0" quotePrefix="0" xfId="0">
      <alignment horizontal="right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right" vertical="center" wrapText="1"/>
    </xf>
    <xf numFmtId="0" fontId="11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2" fillId="8" borderId="3" applyAlignment="1" pivotButton="0" quotePrefix="0" xfId="0">
      <alignment horizontal="right" vertical="center" wrapText="1"/>
    </xf>
    <xf numFmtId="0" fontId="15" fillId="5" borderId="1" applyAlignment="1" pivotButton="0" quotePrefix="0" xfId="0">
      <alignment horizontal="right" vertical="center" wrapText="1"/>
    </xf>
    <xf numFmtId="0" fontId="15" fillId="9" borderId="1" applyAlignment="1" pivotButton="0" quotePrefix="0" xfId="0">
      <alignment horizontal="right" vertical="center" wrapText="1"/>
    </xf>
    <xf numFmtId="0" fontId="16" fillId="10" borderId="1" applyAlignment="1" pivotButton="0" quotePrefix="0" xfId="0">
      <alignment horizontal="right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right" vertical="center" wrapText="1"/>
    </xf>
    <xf numFmtId="0" fontId="5" fillId="3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right" vertical="center" wrapText="1"/>
    </xf>
    <xf numFmtId="0" fontId="8" fillId="6" borderId="1" applyAlignment="1" pivotButton="0" quotePrefix="0" xfId="0">
      <alignment horizontal="right" vertical="center" wrapText="1"/>
    </xf>
    <xf numFmtId="0" fontId="4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2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right" vertical="center" wrapText="1"/>
    </xf>
    <xf numFmtId="0" fontId="11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2" fillId="8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0" fillId="0" borderId="7" pivotButton="0" quotePrefix="0" xfId="0"/>
    <xf numFmtId="0" fontId="15" fillId="5" borderId="1" applyAlignment="1" pivotButton="0" quotePrefix="0" xfId="0">
      <alignment horizontal="right" vertical="center" wrapText="1"/>
    </xf>
    <xf numFmtId="0" fontId="15" fillId="9" borderId="1" applyAlignment="1" pivotButton="0" quotePrefix="0" xfId="0">
      <alignment horizontal="right" vertical="center" wrapText="1"/>
    </xf>
    <xf numFmtId="0" fontId="16" fillId="10" borderId="1" applyAlignment="1" pivotButton="0" quotePrefix="0" xfId="0">
      <alignment horizontal="right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8" fillId="11" borderId="8" applyAlignment="1" pivotButton="0" quotePrefix="0" xfId="0">
      <alignment horizontal="center" vertical="center" wrapText="1"/>
    </xf>
    <xf numFmtId="0" fontId="19" fillId="11" borderId="9" applyAlignment="1" pivotButton="0" quotePrefix="0" xfId="0">
      <alignment horizontal="center" vertical="center" wrapText="1"/>
    </xf>
    <xf numFmtId="0" fontId="20" fillId="12" borderId="9" applyAlignment="1" pivotButton="0" quotePrefix="0" xfId="0">
      <alignment horizontal="center" vertical="center" wrapText="1"/>
    </xf>
    <xf numFmtId="0" fontId="21" fillId="13" borderId="9" applyAlignment="1" pivotButton="0" quotePrefix="0" xfId="0">
      <alignment horizontal="center" vertical="center" wrapText="1"/>
    </xf>
    <xf numFmtId="0" fontId="22" fillId="14" borderId="9" applyAlignment="1" pivotButton="0" quotePrefix="0" xfId="0">
      <alignment horizontal="right" vertical="center" wrapText="1"/>
    </xf>
    <xf numFmtId="0" fontId="23" fillId="15" borderId="9" applyAlignment="1" pivotButton="0" quotePrefix="0" xfId="0">
      <alignment horizontal="right" vertical="center" wrapText="1"/>
    </xf>
    <xf numFmtId="0" fontId="24" fillId="16" borderId="9" applyAlignment="1" pivotButton="0" quotePrefix="0" xfId="0">
      <alignment horizontal="right" vertical="center" wrapText="1"/>
    </xf>
    <xf numFmtId="0" fontId="17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DCFCE7"/>
      <rgbColor rgb="FF660066"/>
      <rgbColor rgb="FFFF8080"/>
      <rgbColor rgb="FF1D4ED8"/>
      <rgbColor rgb="FFF8F9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DF4"/>
      <rgbColor rgb="FFEFF6FF"/>
      <rgbColor rgb="FFFEF9EE"/>
      <rgbColor rgb="FF99CCFF"/>
      <rgbColor rgb="FFFF99CC"/>
      <rgbColor rgb="FFCC99FF"/>
      <rgbColor rgb="FFF8FAFC"/>
      <rgbColor rgb="FF3366FF"/>
      <rgbColor rgb="FF33CCCC"/>
      <rgbColor rgb="FF99CC00"/>
      <rgbColor rgb="FFFFCC00"/>
      <rgbColor rgb="FFC9963A"/>
      <rgbColor rgb="FFFF6600"/>
      <rgbColor rgb="FF666699"/>
      <rgbColor rgb="FF969696"/>
      <rgbColor rgb="FF0F1E3C"/>
      <rgbColor rgb="FF339966"/>
      <rgbColor rgb="FF003300"/>
      <rgbColor rgb="FF333300"/>
      <rgbColor rgb="FF92400E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E2" authorId="0" shapeId="0">
      <text>
        <t>يمكن تعديل أسماء المواد أو إضافة مواد جديدة.
تُستخدم هذه القائمة كمصدر للقوائم المنسدلة.</t>
      </text>
    </comment>
    <comment ref="C3" authorId="0" shapeId="0">
      <text>
        <t>أدخل العدد الإجمالي للقاعات.
القاعات تُسمَّى تلقائياً: القاعة 1، القاعة 2...</t>
      </text>
    </comment>
    <comment ref="C4" authorId="0" shapeId="0">
      <text>
        <t>عدد الحصص (بحد أقصى 20).
صفوف الحصص تُولَّد تلقائياً في ورقة الحصص.</t>
      </text>
    </comment>
    <comment ref="C5" authorId="0" shapeId="0">
      <text>
        <t>يُحسب تلقائياً من ورقة الأساتذة.
لا تعدّل هذه الخلية.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⚠️ تلقائي — لا تعدّل</t>
      </text>
    </comment>
    <comment ref="D1" authorId="0" shapeId="0">
      <text>
        <t>اختر المادة الأولى الممتحَنة
(اتركها فارغة إذا لم تكن هناك مادة)</t>
      </text>
    </comment>
    <comment ref="E1" authorId="0" shapeId="0">
      <text>
        <t>المادة الثانية الممتحَنة (اختياري)</t>
      </text>
    </comment>
    <comment ref="F1" authorId="0" shapeId="0">
      <text>
        <t>عدد القاعات العاملة خلال الحصة
(≤ عدد القاعات في الإعدادات، حد أقصى 30)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يُرقَّم تلقائياً بمجرد إدخال الاسم</t>
      </text>
    </comment>
    <comment ref="B1" authorId="0" shapeId="0">
      <text>
        <t>أدخل الاسم الكامل للأستاذ</t>
      </text>
    </comment>
    <comment ref="C1" authorId="0" shapeId="0">
      <text>
        <t>المادة التي يُدرّسها الأستاذ
(تُستخدم لتطبيق قيد المداوم)</t>
      </text>
    </comment>
    <comment ref="D1" authorId="0" shapeId="0">
      <text>
        <t>رقم التأجير / المعرف الإداري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A1" authorId="0" shapeId="0">
      <text>
        <t>⚙️ هذه الورقة تُحسب تلقائياً
✅ X = القاعة نشطة في هذه الحصة
□ = غير نشطة
النشاط يعتمد على عمود 'عدد القاعات العاملة' في ورقة الحصص.
أول N قاعة تكون نشطة حيث N هو العدد المُدخَل.
⚠️ لا تعدّل هذه الورقة يدوياً.</t>
      </text>
    </comment>
  </commentList>
</comments>
</file>

<file path=xl/comments/comment5.xml><?xml version="1.0" encoding="utf-8"?>
<comments xmlns="http://schemas.openxmlformats.org/spreadsheetml/2006/main">
  <authors>
    <author>النظام</author>
  </authors>
  <commentList>
    <comment ref="D2" authorId="0" shapeId="0">
      <text>
        <t>اختر المداوم من القائمة المنسدلة.
القائمة تحتوي فقط على أساتذة يُدرّسون المادة المحددة.
⚠️ المداوم لن يكون مراقباً ولا احتياطياً في هذه الحصة.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28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1" min="1" max="1"/>
    <col width="55" customWidth="1" style="21" min="2" max="2"/>
    <col width="3" customWidth="1" style="21" min="3" max="3"/>
  </cols>
  <sheetData>
    <row r="1" ht="37.5" customHeight="1" s="22">
      <c r="B1" s="23" t="inlineStr">
        <is>
          <t>🚀  دليل الاستخدام — جدول توزيع المراقبين</t>
        </is>
      </c>
    </row>
    <row r="2" ht="9.75" customHeight="1" s="22"/>
    <row r="3" ht="27.75" customHeight="1" s="22">
      <c r="B3" s="24" t="inlineStr">
        <is>
          <t>الخطوة 1️⃣  ورقة الإعدادات</t>
        </is>
      </c>
    </row>
    <row r="4" ht="21.75" customHeight="1" s="22">
      <c r="B4" s="25" t="inlineStr">
        <is>
          <t>• تحقق من عدد القاعات (C3) وعدد الحصص (C4) — عدّلهما حسب حاجتك</t>
        </is>
      </c>
    </row>
    <row r="5" ht="21.75" customHeight="1" s="22">
      <c r="B5" s="25" t="inlineStr">
        <is>
          <t>• يمكن تعديل قائمة المواد في العمود E</t>
        </is>
      </c>
    </row>
    <row r="6" ht="7.5" customHeight="1" s="22"/>
    <row r="7" ht="27.75" customHeight="1" s="22">
      <c r="B7" s="24" t="inlineStr">
        <is>
          <t>الخطوة 2️⃣  ورقة الأساتذة</t>
        </is>
      </c>
    </row>
    <row r="8" ht="21.75" customHeight="1" s="22">
      <c r="B8" s="25" t="inlineStr">
        <is>
          <t>• البيانات جاهزة — عدّل الأسماء وأرقام التأجير والمواد حسب واقعك</t>
        </is>
      </c>
    </row>
    <row r="9" ht="21.75" customHeight="1" s="22">
      <c r="B9" s="25" t="inlineStr">
        <is>
          <t>• أضف أساتذة جدداً في الصفوف الفارغة التالية أو احذف من لا تحتاجه</t>
        </is>
      </c>
    </row>
    <row r="10" ht="21.75" customHeight="1" s="22">
      <c r="B10" s="25" t="inlineStr">
        <is>
          <t>• عمود المادة مرتبط بقيد المداوم (مراقبة إلزامية لمادته أثناء الامتحان)</t>
        </is>
      </c>
    </row>
    <row r="11" ht="7.5" customHeight="1" s="22"/>
    <row r="12" ht="27.75" customHeight="1" s="22">
      <c r="B12" s="24" t="inlineStr">
        <is>
          <t>الخطوة 3️⃣  ورقة الحصص</t>
        </is>
      </c>
    </row>
    <row r="13" ht="21.75" customHeight="1" s="22">
      <c r="B13" s="25" t="inlineStr">
        <is>
          <t>• البيانات جاهزة — عدّل التواريخ والتوقيتات والمواد وعدد القاعات</t>
        </is>
      </c>
    </row>
    <row r="14" ht="21.75" customHeight="1" s="22">
      <c r="B14" s="25" t="inlineStr">
        <is>
          <t>• أسماء الحصص (حصة 1، حصة 2...) تُولَّد تلقائياً — لا تعدّلها</t>
        </is>
      </c>
    </row>
    <row r="15" ht="21.75" customHeight="1" s="22">
      <c r="B15" s="25" t="inlineStr">
        <is>
          <t>• عمود 'عدد القاعات العاملة' يحدد أي القاعات نشطة (أول N قاعة)</t>
        </is>
      </c>
    </row>
    <row r="16" ht="7.5" customHeight="1" s="22"/>
    <row r="17" ht="27.75" customHeight="1" s="22">
      <c r="B17" s="24" t="inlineStr">
        <is>
          <t>الخطوة 4️⃣  ورقة المصفوفة</t>
        </is>
      </c>
    </row>
    <row r="18" ht="21.75" customHeight="1" s="22">
      <c r="B18" s="25" t="inlineStr">
        <is>
          <t>• تُحسب تلقائياً — تحقق منها للتأكد من صحة البيانات</t>
        </is>
      </c>
    </row>
    <row r="19" ht="21.75" customHeight="1" s="22">
      <c r="B19" s="25" t="inlineStr">
        <is>
          <t>• لا تعدّلها يدوياً</t>
        </is>
      </c>
    </row>
    <row r="20" ht="7.5" customHeight="1" s="22"/>
    <row r="21" ht="27.75" customHeight="1" s="22">
      <c r="B21" s="24" t="inlineStr">
        <is>
          <t>الخطوة 5️⃣  رفع الملف</t>
        </is>
      </c>
    </row>
    <row r="22" ht="21.75" customHeight="1" s="22">
      <c r="B22" s="25" t="inlineStr">
        <is>
          <t>• احفظ الملف ثم ارفعه في تطبيق جدول المراقبة</t>
        </is>
      </c>
    </row>
    <row r="23" ht="21.75" customHeight="1" s="22">
      <c r="B23" s="25" t="inlineStr">
        <is>
          <t>• انتظر ثوانٍ حتى يولّد النظام الجدول وتظهر أزرار التحميل</t>
        </is>
      </c>
    </row>
    <row r="24" ht="7.5" customHeight="1" s="22"/>
    <row r="25" ht="27.75" customHeight="1" s="22">
      <c r="B25" s="26" t="inlineStr">
        <is>
          <t>🎨  مفتاح الألوان</t>
        </is>
      </c>
    </row>
    <row r="26" ht="21.75" customHeight="1" s="22">
      <c r="B26" s="27" t="inlineStr">
        <is>
          <t>الخلايا الزرقاء الفاتحة = أدخل أو عدّل البيانات هنا</t>
        </is>
      </c>
    </row>
    <row r="27" ht="21.75" customHeight="1" s="22">
      <c r="B27" s="28" t="inlineStr">
        <is>
          <t>الخلايا الخضراء = محسوبة تلقائياً (لا تعدّل)</t>
        </is>
      </c>
    </row>
    <row r="28" ht="21.75" customHeight="1" s="22">
      <c r="B28" s="25" t="inlineStr">
        <is>
          <t>الخلايا الكريمية = تسميات ومعلومات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16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1" min="1" max="1"/>
    <col width="32" customWidth="1" style="21" min="2" max="2"/>
    <col width="18" customWidth="1" style="21" min="3" max="3"/>
    <col width="3" customWidth="1" style="21" min="4" max="4"/>
    <col width="30" customWidth="1" style="21" min="5" max="5"/>
    <col width="8" customWidth="1" style="21" min="6" max="6"/>
  </cols>
  <sheetData>
    <row r="1" ht="37.5" customHeight="1" s="22">
      <c r="B1" s="29" t="inlineStr">
        <is>
          <t>⚙️  الإعدادات العامة</t>
        </is>
      </c>
      <c r="C1" s="30" t="n"/>
      <c r="E1" s="31" t="inlineStr">
        <is>
          <t>📚  قائمة المواد</t>
        </is>
      </c>
      <c r="F1" s="30" t="n"/>
    </row>
    <row r="2" ht="15" customHeight="1" s="22">
      <c r="E2" s="32" t="inlineStr">
        <is>
          <t>المادة</t>
        </is>
      </c>
      <c r="F2" s="32" t="inlineStr">
        <is>
          <t>#</t>
        </is>
      </c>
    </row>
    <row r="3" ht="21.75" customHeight="1" s="22">
      <c r="B3" s="33" t="inlineStr">
        <is>
          <t>عدد القاعات المتوفرة</t>
        </is>
      </c>
      <c r="C3" s="34" t="n">
        <v>14</v>
      </c>
      <c r="E3" s="35" t="inlineStr">
        <is>
          <t>الاقتصاد</t>
        </is>
      </c>
      <c r="F3" s="36" t="n">
        <v>1</v>
      </c>
    </row>
    <row r="4" ht="21.75" customHeight="1" s="22">
      <c r="B4" s="33" t="inlineStr">
        <is>
          <t>عدد الحصص</t>
        </is>
      </c>
      <c r="C4" s="34" t="n">
        <v>8</v>
      </c>
      <c r="E4" s="35" t="inlineStr">
        <is>
          <t>التاريخ والجغرافيا</t>
        </is>
      </c>
      <c r="F4" s="36" t="n">
        <v>2</v>
      </c>
    </row>
    <row r="5" ht="21.75" customHeight="1" s="22">
      <c r="B5" s="33" t="inlineStr">
        <is>
          <t>عدد الأساتذة (تلقائي)</t>
        </is>
      </c>
      <c r="C5" s="37">
        <f>COUNTA(الأساتذة!B2:B201)</f>
        <v/>
      </c>
      <c r="E5" s="35" t="inlineStr">
        <is>
          <t>التربية الإسلامية</t>
        </is>
      </c>
      <c r="F5" s="36" t="n">
        <v>3</v>
      </c>
    </row>
    <row r="6" ht="21.75" customHeight="1" s="22">
      <c r="B6" s="38" t="inlineStr">
        <is>
          <t>⚠️  الخلايا الزرقاء: أدخل البيانات
الخلايا الخضراء: تلقائية — لا تعدّلها</t>
        </is>
      </c>
      <c r="C6" s="39" t="n"/>
      <c r="E6" s="35" t="inlineStr">
        <is>
          <t>التربية البدنية</t>
        </is>
      </c>
      <c r="F6" s="36" t="n">
        <v>4</v>
      </c>
    </row>
    <row r="7" ht="21.75" customHeight="1" s="22">
      <c r="B7" s="40" t="n"/>
      <c r="E7" s="35" t="inlineStr">
        <is>
          <t>الرياضيات</t>
        </is>
      </c>
      <c r="F7" s="36" t="n">
        <v>5</v>
      </c>
    </row>
    <row r="8" ht="21.75" customHeight="1" s="22">
      <c r="E8" s="35" t="inlineStr">
        <is>
          <t>الفلسفة</t>
        </is>
      </c>
      <c r="F8" s="36" t="n">
        <v>6</v>
      </c>
    </row>
    <row r="9" ht="21.75" customHeight="1" s="22">
      <c r="E9" s="35" t="inlineStr">
        <is>
          <t>الفيزياء والكيمياء</t>
        </is>
      </c>
      <c r="F9" s="36" t="n">
        <v>7</v>
      </c>
    </row>
    <row r="10" ht="21.75" customHeight="1" s="22">
      <c r="E10" s="35" t="inlineStr">
        <is>
          <t>اللغة الإنجليزية</t>
        </is>
      </c>
      <c r="F10" s="36" t="n">
        <v>8</v>
      </c>
    </row>
    <row r="11" ht="21.75" customHeight="1" s="22">
      <c r="E11" s="35" t="inlineStr">
        <is>
          <t>اللغة العربية</t>
        </is>
      </c>
      <c r="F11" s="36" t="n">
        <v>9</v>
      </c>
    </row>
    <row r="12" ht="21.75" customHeight="1" s="22">
      <c r="E12" s="35" t="inlineStr">
        <is>
          <t>اللغة الفرنسية</t>
        </is>
      </c>
      <c r="F12" s="36" t="n">
        <v>10</v>
      </c>
    </row>
    <row r="13" ht="21.75" customHeight="1" s="22">
      <c r="E13" s="35" t="inlineStr">
        <is>
          <t>علوم الحياة والأرض</t>
        </is>
      </c>
      <c r="F13" s="36" t="n">
        <v>11</v>
      </c>
    </row>
    <row r="14" ht="21.75" customHeight="1" s="22">
      <c r="E14" s="35" t="inlineStr">
        <is>
          <t>الترجمة</t>
        </is>
      </c>
      <c r="F14" s="36" t="n">
        <v>12</v>
      </c>
    </row>
    <row r="15" ht="21.75" customHeight="1" s="22">
      <c r="E15" s="35" t="inlineStr">
        <is>
          <t>المعلوميات</t>
        </is>
      </c>
      <c r="F15" s="36" t="n">
        <v>13</v>
      </c>
    </row>
    <row r="16" ht="21.75" customHeight="1" s="22">
      <c r="E16" s="35" t="inlineStr">
        <is>
          <t>مادة أخرى</t>
        </is>
      </c>
      <c r="F16" s="36" t="n">
        <v>14</v>
      </c>
    </row>
  </sheetData>
  <mergeCells count="3">
    <mergeCell ref="B1:C1"/>
    <mergeCell ref="B6:C7"/>
    <mergeCell ref="E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21" min="1" max="1"/>
    <col width="16" customWidth="1" style="21" min="2" max="2"/>
    <col width="18" customWidth="1" style="21" min="3" max="3"/>
    <col width="24" customWidth="1" style="21" min="4" max="5"/>
    <col width="14" customWidth="1" style="21" min="6" max="6"/>
  </cols>
  <sheetData>
    <row r="1" ht="30" customHeight="1" s="22">
      <c r="A1" s="32" t="inlineStr">
        <is>
          <t>اسم الحصة</t>
        </is>
      </c>
      <c r="B1" s="32" t="inlineStr">
        <is>
          <t>التاريخ</t>
        </is>
      </c>
      <c r="C1" s="32" t="inlineStr">
        <is>
          <t>التوقيت</t>
        </is>
      </c>
      <c r="D1" s="32" t="inlineStr">
        <is>
          <t>المادة 1</t>
        </is>
      </c>
      <c r="E1" s="32" t="inlineStr">
        <is>
          <t>المادة 2</t>
        </is>
      </c>
      <c r="F1" s="32" t="inlineStr">
        <is>
          <t>عدد القاعات العاملة</t>
        </is>
      </c>
    </row>
    <row r="2" ht="21.75" customHeight="1" s="22">
      <c r="A2" s="37">
        <f>IF(ROW()-1&lt;=الإعدادات!$C$4,"حصة "&amp;TEXT(ROW()-1,"0"),"")</f>
        <v/>
      </c>
      <c r="B2" s="34" t="inlineStr">
        <is>
          <t>15/06/2026</t>
        </is>
      </c>
      <c r="C2" s="34" t="inlineStr">
        <is>
          <t>08:00 - 10:00</t>
        </is>
      </c>
      <c r="D2" s="27" t="inlineStr">
        <is>
          <t>الرياضيات</t>
        </is>
      </c>
      <c r="E2" s="27" t="inlineStr">
        <is>
          <t>الفيزياء والكيمياء</t>
        </is>
      </c>
      <c r="F2" s="34" t="n">
        <v>9</v>
      </c>
    </row>
    <row r="3" ht="21.75" customHeight="1" s="22">
      <c r="A3" s="37">
        <f>IF(ROW()-1&lt;=الإعدادات!$C$4,"حصة "&amp;TEXT(ROW()-1,"0"),"")</f>
        <v/>
      </c>
      <c r="B3" s="34" t="inlineStr">
        <is>
          <t>15/06/2026</t>
        </is>
      </c>
      <c r="C3" s="34" t="inlineStr">
        <is>
          <t>10:30 - 12:30</t>
        </is>
      </c>
      <c r="D3" s="27" t="inlineStr">
        <is>
          <t>اللغة العربية</t>
        </is>
      </c>
      <c r="E3" s="27" t="inlineStr">
        <is>
          <t>اللغة الفرنسية</t>
        </is>
      </c>
      <c r="F3" s="34" t="n">
        <v>12</v>
      </c>
    </row>
    <row r="4" ht="21.75" customHeight="1" s="22">
      <c r="A4" s="37">
        <f>IF(ROW()-1&lt;=الإعدادات!$C$4,"حصة "&amp;TEXT(ROW()-1,"0"),"")</f>
        <v/>
      </c>
      <c r="B4" s="34" t="inlineStr">
        <is>
          <t>16/06/2026</t>
        </is>
      </c>
      <c r="C4" s="34" t="inlineStr">
        <is>
          <t>08:00 - 10:00</t>
        </is>
      </c>
      <c r="D4" s="27" t="inlineStr">
        <is>
          <t>التاريخ والجغرافيا</t>
        </is>
      </c>
      <c r="E4" s="27" t="inlineStr">
        <is>
          <t>الاقتصاد</t>
        </is>
      </c>
      <c r="F4" s="34" t="n">
        <v>9</v>
      </c>
    </row>
    <row r="5" ht="21.75" customHeight="1" s="22">
      <c r="A5" s="37">
        <f>IF(ROW()-1&lt;=الإعدادات!$C$4,"حصة "&amp;TEXT(ROW()-1,"0"),"")</f>
        <v/>
      </c>
      <c r="B5" s="34" t="inlineStr">
        <is>
          <t>16/06/2026</t>
        </is>
      </c>
      <c r="C5" s="34" t="inlineStr">
        <is>
          <t>10:30 - 12:30</t>
        </is>
      </c>
      <c r="D5" s="27" t="inlineStr">
        <is>
          <t>اللغة الإنجليزية</t>
        </is>
      </c>
      <c r="E5" s="27" t="inlineStr">
        <is>
          <t>الترجمة</t>
        </is>
      </c>
      <c r="F5" s="34" t="n">
        <v>14</v>
      </c>
    </row>
    <row r="6" ht="21.75" customHeight="1" s="22">
      <c r="A6" s="37">
        <f>IF(ROW()-1&lt;=الإعدادات!$C$4,"حصة "&amp;TEXT(ROW()-1,"0"),"")</f>
        <v/>
      </c>
      <c r="B6" s="34" t="inlineStr">
        <is>
          <t>17/06/2026</t>
        </is>
      </c>
      <c r="C6" s="34" t="inlineStr">
        <is>
          <t>08:00 - 10:00</t>
        </is>
      </c>
      <c r="D6" s="27" t="n"/>
      <c r="E6" s="27" t="n"/>
      <c r="F6" s="34" t="n">
        <v>14</v>
      </c>
    </row>
    <row r="7" ht="21.75" customHeight="1" s="22">
      <c r="A7" s="37">
        <f>IF(ROW()-1&lt;=الإعدادات!$C$4,"حصة "&amp;TEXT(ROW()-1,"0"),"")</f>
        <v/>
      </c>
      <c r="B7" s="34" t="inlineStr">
        <is>
          <t>17/06/2026</t>
        </is>
      </c>
      <c r="C7" s="34" t="inlineStr">
        <is>
          <t>10:30 - 12:30</t>
        </is>
      </c>
      <c r="D7" s="27" t="n"/>
      <c r="E7" s="27" t="n"/>
      <c r="F7" s="34" t="n">
        <v>14</v>
      </c>
    </row>
    <row r="8" ht="21.75" customHeight="1" s="22">
      <c r="A8" s="37">
        <f>IF(ROW()-1&lt;=الإعدادات!$C$4,"حصة "&amp;TEXT(ROW()-1,"0"),"")</f>
        <v/>
      </c>
      <c r="B8" s="34" t="inlineStr">
        <is>
          <t>18/06/2026</t>
        </is>
      </c>
      <c r="C8" s="34" t="inlineStr">
        <is>
          <t>08:00 - 10:00</t>
        </is>
      </c>
      <c r="D8" s="27" t="n"/>
      <c r="E8" s="27" t="n"/>
      <c r="F8" s="34" t="n">
        <v>14</v>
      </c>
    </row>
    <row r="9" ht="21.75" customHeight="1" s="22">
      <c r="A9" s="37">
        <f>IF(ROW()-1&lt;=الإعدادات!$C$4,"حصة "&amp;TEXT(ROW()-1,"0"),"")</f>
        <v/>
      </c>
      <c r="B9" s="34" t="inlineStr">
        <is>
          <t>18/06/2026</t>
        </is>
      </c>
      <c r="C9" s="34" t="inlineStr">
        <is>
          <t>10:30 - 12:30</t>
        </is>
      </c>
      <c r="D9" s="27" t="n"/>
      <c r="E9" s="27" t="n"/>
      <c r="F9" s="34" t="n">
        <v>9</v>
      </c>
    </row>
    <row r="10" ht="21.75" customHeight="1" s="22">
      <c r="A10" s="37">
        <f>IF(ROW()-1&lt;=الإعدادات!$C$4,"حصة "&amp;TEXT(ROW()-1,"0"),"")</f>
        <v/>
      </c>
      <c r="B10" s="41" t="n"/>
      <c r="C10" s="41" t="n"/>
      <c r="D10" s="41" t="n"/>
      <c r="E10" s="41" t="n"/>
      <c r="F10" s="41" t="n"/>
    </row>
    <row r="11" ht="21.75" customHeight="1" s="22">
      <c r="A11" s="37">
        <f>IF(ROW()-1&lt;=الإعدادات!$C$4,"حصة "&amp;TEXT(ROW()-1,"0"),"")</f>
        <v/>
      </c>
      <c r="B11" s="42" t="n"/>
      <c r="C11" s="42" t="n"/>
      <c r="D11" s="42" t="n"/>
      <c r="E11" s="42" t="n"/>
      <c r="F11" s="42" t="n"/>
    </row>
    <row r="12" ht="21.75" customHeight="1" s="22">
      <c r="A12" s="37">
        <f>IF(ROW()-1&lt;=الإعدادات!$C$4,"حصة "&amp;TEXT(ROW()-1,"0"),"")</f>
        <v/>
      </c>
      <c r="B12" s="41" t="n"/>
      <c r="C12" s="41" t="n"/>
      <c r="D12" s="41" t="n"/>
      <c r="E12" s="41" t="n"/>
      <c r="F12" s="41" t="n"/>
    </row>
    <row r="13" ht="21.75" customHeight="1" s="22">
      <c r="A13" s="37">
        <f>IF(ROW()-1&lt;=الإعدادات!$C$4,"حصة "&amp;TEXT(ROW()-1,"0"),"")</f>
        <v/>
      </c>
      <c r="B13" s="42" t="n"/>
      <c r="C13" s="42" t="n"/>
      <c r="D13" s="42" t="n"/>
      <c r="E13" s="42" t="n"/>
      <c r="F13" s="42" t="n"/>
    </row>
    <row r="14" ht="21.75" customHeight="1" s="22">
      <c r="A14" s="37">
        <f>IF(ROW()-1&lt;=الإعدادات!$C$4,"حصة "&amp;TEXT(ROW()-1,"0"),"")</f>
        <v/>
      </c>
      <c r="B14" s="41" t="n"/>
      <c r="C14" s="41" t="n"/>
      <c r="D14" s="41" t="n"/>
      <c r="E14" s="41" t="n"/>
      <c r="F14" s="41" t="n"/>
    </row>
    <row r="15" ht="21.75" customHeight="1" s="22">
      <c r="A15" s="37">
        <f>IF(ROW()-1&lt;=الإعدادات!$C$4,"حصة "&amp;TEXT(ROW()-1,"0"),"")</f>
        <v/>
      </c>
      <c r="B15" s="42" t="n"/>
      <c r="C15" s="42" t="n"/>
      <c r="D15" s="42" t="n"/>
      <c r="E15" s="42" t="n"/>
      <c r="F15" s="42" t="n"/>
    </row>
    <row r="16" ht="21.75" customHeight="1" s="22">
      <c r="A16" s="37">
        <f>IF(ROW()-1&lt;=الإعدادات!$C$4,"حصة "&amp;TEXT(ROW()-1,"0"),"")</f>
        <v/>
      </c>
      <c r="B16" s="41" t="n"/>
      <c r="C16" s="41" t="n"/>
      <c r="D16" s="41" t="n"/>
      <c r="E16" s="41" t="n"/>
      <c r="F16" s="41" t="n"/>
    </row>
    <row r="17" ht="21.75" customHeight="1" s="22">
      <c r="A17" s="37">
        <f>IF(ROW()-1&lt;=الإعدادات!$C$4,"حصة "&amp;TEXT(ROW()-1,"0"),"")</f>
        <v/>
      </c>
      <c r="B17" s="42" t="n"/>
      <c r="C17" s="42" t="n"/>
      <c r="D17" s="42" t="n"/>
      <c r="E17" s="42" t="n"/>
      <c r="F17" s="42" t="n"/>
    </row>
    <row r="18" ht="21.75" customHeight="1" s="22">
      <c r="A18" s="37">
        <f>IF(ROW()-1&lt;=الإعدادات!$C$4,"حصة "&amp;TEXT(ROW()-1,"0"),"")</f>
        <v/>
      </c>
      <c r="B18" s="41" t="n"/>
      <c r="C18" s="41" t="n"/>
      <c r="D18" s="41" t="n"/>
      <c r="E18" s="41" t="n"/>
      <c r="F18" s="41" t="n"/>
    </row>
    <row r="19" ht="21.75" customHeight="1" s="22">
      <c r="A19" s="37">
        <f>IF(ROW()-1&lt;=الإعدادات!$C$4,"حصة "&amp;TEXT(ROW()-1,"0"),"")</f>
        <v/>
      </c>
      <c r="B19" s="42" t="n"/>
      <c r="C19" s="42" t="n"/>
      <c r="D19" s="42" t="n"/>
      <c r="E19" s="42" t="n"/>
      <c r="F19" s="42" t="n"/>
    </row>
    <row r="20" ht="21.75" customHeight="1" s="22">
      <c r="A20" s="37">
        <f>IF(ROW()-1&lt;=الإعدادات!$C$4,"حصة "&amp;TEXT(ROW()-1,"0"),"")</f>
        <v/>
      </c>
      <c r="B20" s="41" t="n"/>
      <c r="C20" s="41" t="n"/>
      <c r="D20" s="41" t="n"/>
      <c r="E20" s="41" t="n"/>
      <c r="F20" s="41" t="n"/>
    </row>
    <row r="21" ht="21.75" customHeight="1" s="22">
      <c r="A21" s="37">
        <f>IF(ROW()-1&lt;=الإعدادات!$C$4,"حصة "&amp;TEXT(ROW()-1,"0"),"")</f>
        <v/>
      </c>
      <c r="B21" s="42" t="n"/>
      <c r="C21" s="42" t="n"/>
      <c r="D21" s="42" t="n"/>
      <c r="E21" s="42" t="n"/>
      <c r="F21" s="42" t="n"/>
    </row>
  </sheetData>
  <dataValidations count="1">
    <dataValidation sqref="D2:E21" showDropDown="0" showInputMessage="0" showErrorMessage="0" allowBlank="1" type="list" errorStyle="stop" operator="between">
      <formula1>الإعدادات!$E$3:$E$16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01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30" customWidth="1" style="21" min="2" max="2"/>
    <col width="26" customWidth="1" style="21" min="3" max="3"/>
    <col width="16" customWidth="1" style="21" min="4" max="4"/>
  </cols>
  <sheetData>
    <row r="1" ht="30" customHeight="1" s="22">
      <c r="A1" s="32" t="inlineStr">
        <is>
          <t>#</t>
        </is>
      </c>
      <c r="B1" s="32" t="inlineStr">
        <is>
          <t>الاسم الكامل</t>
        </is>
      </c>
      <c r="C1" s="32" t="inlineStr">
        <is>
          <t>المادة</t>
        </is>
      </c>
      <c r="D1" s="32" t="inlineStr">
        <is>
          <t>رقم التأجير</t>
        </is>
      </c>
    </row>
    <row r="2" ht="19.5" customHeight="1" s="22">
      <c r="A2" s="37">
        <f>IF(B2&lt;&gt;"",ROW()-1,"")</f>
        <v/>
      </c>
      <c r="B2" s="27" t="inlineStr">
        <is>
          <t>محمد أمين</t>
        </is>
      </c>
      <c r="C2" s="27" t="inlineStr">
        <is>
          <t>الرياضيات</t>
        </is>
      </c>
      <c r="D2" s="34" t="inlineStr">
        <is>
          <t>1001</t>
        </is>
      </c>
    </row>
    <row r="3" ht="19.5" customHeight="1" s="22">
      <c r="A3" s="37">
        <f>IF(B3&lt;&gt;"",ROW()-1,"")</f>
        <v/>
      </c>
      <c r="B3" s="27" t="inlineStr">
        <is>
          <t>فاطمة الزهراء</t>
        </is>
      </c>
      <c r="C3" s="27" t="inlineStr">
        <is>
          <t>الرياضيات</t>
        </is>
      </c>
      <c r="D3" s="34" t="inlineStr">
        <is>
          <t>1002</t>
        </is>
      </c>
    </row>
    <row r="4" ht="19.5" customHeight="1" s="22">
      <c r="A4" s="37">
        <f>IF(B4&lt;&gt;"",ROW()-1,"")</f>
        <v/>
      </c>
      <c r="B4" s="27" t="inlineStr">
        <is>
          <t>يوسف بنعلي</t>
        </is>
      </c>
      <c r="C4" s="27" t="inlineStr">
        <is>
          <t>الرياضيات</t>
        </is>
      </c>
      <c r="D4" s="34" t="inlineStr">
        <is>
          <t>1003</t>
        </is>
      </c>
    </row>
    <row r="5" ht="19.5" customHeight="1" s="22">
      <c r="A5" s="37">
        <f>IF(B5&lt;&gt;"",ROW()-1,"")</f>
        <v/>
      </c>
      <c r="B5" s="27" t="inlineStr">
        <is>
          <t>سلمى الإدريسي</t>
        </is>
      </c>
      <c r="C5" s="27" t="inlineStr">
        <is>
          <t>الرياضيات</t>
        </is>
      </c>
      <c r="D5" s="34" t="inlineStr">
        <is>
          <t>1004</t>
        </is>
      </c>
    </row>
    <row r="6" ht="19.5" customHeight="1" s="22">
      <c r="A6" s="37">
        <f>IF(B6&lt;&gt;"",ROW()-1,"")</f>
        <v/>
      </c>
      <c r="B6" s="27" t="inlineStr">
        <is>
          <t>كريم الناصري</t>
        </is>
      </c>
      <c r="C6" s="27" t="inlineStr">
        <is>
          <t>الرياضيات</t>
        </is>
      </c>
      <c r="D6" s="34" t="inlineStr">
        <is>
          <t>1005</t>
        </is>
      </c>
    </row>
    <row r="7" ht="19.5" customHeight="1" s="22">
      <c r="A7" s="37">
        <f>IF(B7&lt;&gt;"",ROW()-1,"")</f>
        <v/>
      </c>
      <c r="B7" s="27" t="inlineStr">
        <is>
          <t>نجوى الفارسي</t>
        </is>
      </c>
      <c r="C7" s="27" t="inlineStr">
        <is>
          <t>الرياضيات</t>
        </is>
      </c>
      <c r="D7" s="34" t="inlineStr">
        <is>
          <t>1006</t>
        </is>
      </c>
    </row>
    <row r="8" ht="19.5" customHeight="1" s="22">
      <c r="A8" s="37">
        <f>IF(B8&lt;&gt;"",ROW()-1,"")</f>
        <v/>
      </c>
      <c r="B8" s="27" t="inlineStr">
        <is>
          <t>رضا العلوي</t>
        </is>
      </c>
      <c r="C8" s="27" t="inlineStr">
        <is>
          <t>الفيزياء والكيمياء</t>
        </is>
      </c>
      <c r="D8" s="34" t="inlineStr">
        <is>
          <t>1007</t>
        </is>
      </c>
    </row>
    <row r="9" ht="19.5" customHeight="1" s="22">
      <c r="A9" s="37">
        <f>IF(B9&lt;&gt;"",ROW()-1,"")</f>
        <v/>
      </c>
      <c r="B9" s="27" t="inlineStr">
        <is>
          <t>حنان السلاوي</t>
        </is>
      </c>
      <c r="C9" s="27" t="inlineStr">
        <is>
          <t>الفيزياء والكيمياء</t>
        </is>
      </c>
      <c r="D9" s="34" t="inlineStr">
        <is>
          <t>1008</t>
        </is>
      </c>
    </row>
    <row r="10" ht="19.5" customHeight="1" s="22">
      <c r="A10" s="37">
        <f>IF(B10&lt;&gt;"",ROW()-1,"")</f>
        <v/>
      </c>
      <c r="B10" s="27" t="inlineStr">
        <is>
          <t>بشير الراشدي</t>
        </is>
      </c>
      <c r="C10" s="27" t="inlineStr">
        <is>
          <t>الفيزياء والكيمياء</t>
        </is>
      </c>
      <c r="D10" s="34" t="inlineStr">
        <is>
          <t>1009</t>
        </is>
      </c>
    </row>
    <row r="11" ht="19.5" customHeight="1" s="22">
      <c r="A11" s="37">
        <f>IF(B11&lt;&gt;"",ROW()-1,"")</f>
        <v/>
      </c>
      <c r="B11" s="27" t="inlineStr">
        <is>
          <t>دنيا الحسيني</t>
        </is>
      </c>
      <c r="C11" s="27" t="inlineStr">
        <is>
          <t>الفيزياء والكيمياء</t>
        </is>
      </c>
      <c r="D11" s="34" t="inlineStr">
        <is>
          <t>1010</t>
        </is>
      </c>
    </row>
    <row r="12" ht="19.5" customHeight="1" s="22">
      <c r="A12" s="37">
        <f>IF(B12&lt;&gt;"",ROW()-1,"")</f>
        <v/>
      </c>
      <c r="B12" s="27" t="inlineStr">
        <is>
          <t>لينا الحمداني</t>
        </is>
      </c>
      <c r="C12" s="27" t="inlineStr">
        <is>
          <t>الفيزياء والكيمياء</t>
        </is>
      </c>
      <c r="D12" s="34" t="inlineStr">
        <is>
          <t>1011</t>
        </is>
      </c>
    </row>
    <row r="13" ht="19.5" customHeight="1" s="22">
      <c r="A13" s="37">
        <f>IF(B13&lt;&gt;"",ROW()-1,"")</f>
        <v/>
      </c>
      <c r="B13" s="27" t="inlineStr">
        <is>
          <t>وليد الزياد</t>
        </is>
      </c>
      <c r="C13" s="27" t="inlineStr">
        <is>
          <t>الفيزياء والكيمياء</t>
        </is>
      </c>
      <c r="D13" s="34" t="inlineStr">
        <is>
          <t>1012</t>
        </is>
      </c>
    </row>
    <row r="14" ht="19.5" customHeight="1" s="22">
      <c r="A14" s="37">
        <f>IF(B14&lt;&gt;"",ROW()-1,"")</f>
        <v/>
      </c>
      <c r="B14" s="27" t="inlineStr">
        <is>
          <t>سناء قادري</t>
        </is>
      </c>
      <c r="C14" s="27" t="inlineStr">
        <is>
          <t>اللغة العربية</t>
        </is>
      </c>
      <c r="D14" s="34" t="inlineStr">
        <is>
          <t>1013</t>
        </is>
      </c>
    </row>
    <row r="15" ht="19.5" customHeight="1" s="22">
      <c r="A15" s="37">
        <f>IF(B15&lt;&gt;"",ROW()-1,"")</f>
        <v/>
      </c>
      <c r="B15" s="27" t="inlineStr">
        <is>
          <t>طارق بوعزة</t>
        </is>
      </c>
      <c r="C15" s="27" t="inlineStr">
        <is>
          <t>اللغة العربية</t>
        </is>
      </c>
      <c r="D15" s="34" t="inlineStr">
        <is>
          <t>1014</t>
        </is>
      </c>
    </row>
    <row r="16" ht="19.5" customHeight="1" s="22">
      <c r="A16" s="37">
        <f>IF(B16&lt;&gt;"",ROW()-1,"")</f>
        <v/>
      </c>
      <c r="B16" s="27" t="inlineStr">
        <is>
          <t>نعيمة الجابري</t>
        </is>
      </c>
      <c r="C16" s="27" t="inlineStr">
        <is>
          <t>اللغة العربية</t>
        </is>
      </c>
      <c r="D16" s="34" t="inlineStr">
        <is>
          <t>1015</t>
        </is>
      </c>
    </row>
    <row r="17" ht="19.5" customHeight="1" s="22">
      <c r="A17" s="37">
        <f>IF(B17&lt;&gt;"",ROW()-1,"")</f>
        <v/>
      </c>
      <c r="B17" s="27" t="inlineStr">
        <is>
          <t>هشام العراقي</t>
        </is>
      </c>
      <c r="C17" s="27" t="inlineStr">
        <is>
          <t>اللغة العربية</t>
        </is>
      </c>
      <c r="D17" s="34" t="inlineStr">
        <is>
          <t>1016</t>
        </is>
      </c>
    </row>
    <row r="18" ht="19.5" customHeight="1" s="22">
      <c r="A18" s="37">
        <f>IF(B18&lt;&gt;"",ROW()-1,"")</f>
        <v/>
      </c>
      <c r="B18" s="27" t="inlineStr">
        <is>
          <t>زينب الطاهر</t>
        </is>
      </c>
      <c r="C18" s="27" t="inlineStr">
        <is>
          <t>اللغة العربية</t>
        </is>
      </c>
      <c r="D18" s="34" t="inlineStr">
        <is>
          <t>1017</t>
        </is>
      </c>
    </row>
    <row r="19" ht="19.5" customHeight="1" s="22">
      <c r="A19" s="37">
        <f>IF(B19&lt;&gt;"",ROW()-1,"")</f>
        <v/>
      </c>
      <c r="B19" s="27" t="inlineStr">
        <is>
          <t>أمين الشيخ</t>
        </is>
      </c>
      <c r="C19" s="27" t="inlineStr">
        <is>
          <t>اللغة العربية</t>
        </is>
      </c>
      <c r="D19" s="34" t="inlineStr">
        <is>
          <t>1018</t>
        </is>
      </c>
    </row>
    <row r="20" ht="19.5" customHeight="1" s="22">
      <c r="A20" s="37">
        <f>IF(B20&lt;&gt;"",ROW()-1,"")</f>
        <v/>
      </c>
      <c r="B20" s="27" t="inlineStr">
        <is>
          <t>رشيد أوزين</t>
        </is>
      </c>
      <c r="C20" s="27" t="inlineStr">
        <is>
          <t>اللغة الفرنسية</t>
        </is>
      </c>
      <c r="D20" s="34" t="inlineStr">
        <is>
          <t>1019</t>
        </is>
      </c>
    </row>
    <row r="21" ht="19.5" customHeight="1" s="22">
      <c r="A21" s="37">
        <f>IF(B21&lt;&gt;"",ROW()-1,"")</f>
        <v/>
      </c>
      <c r="B21" s="27" t="inlineStr">
        <is>
          <t>هنا الموساوي</t>
        </is>
      </c>
      <c r="C21" s="27" t="inlineStr">
        <is>
          <t>اللغة الفرنسية</t>
        </is>
      </c>
      <c r="D21" s="34" t="inlineStr">
        <is>
          <t>1020</t>
        </is>
      </c>
    </row>
    <row r="22" ht="19.5" customHeight="1" s="22">
      <c r="A22" s="37">
        <f>IF(B22&lt;&gt;"",ROW()-1,"")</f>
        <v/>
      </c>
      <c r="B22" s="27" t="inlineStr">
        <is>
          <t>نجاة حجازي</t>
        </is>
      </c>
      <c r="C22" s="27" t="inlineStr">
        <is>
          <t>اللغة الفرنسية</t>
        </is>
      </c>
      <c r="D22" s="34" t="inlineStr">
        <is>
          <t>1021</t>
        </is>
      </c>
    </row>
    <row r="23" ht="19.5" customHeight="1" s="22">
      <c r="A23" s="37">
        <f>IF(B23&lt;&gt;"",ROW()-1,"")</f>
        <v/>
      </c>
      <c r="B23" s="27" t="inlineStr">
        <is>
          <t>يمينة لقربي</t>
        </is>
      </c>
      <c r="C23" s="27" t="inlineStr">
        <is>
          <t>اللغة الفرنسية</t>
        </is>
      </c>
      <c r="D23" s="34" t="inlineStr">
        <is>
          <t>1022</t>
        </is>
      </c>
    </row>
    <row r="24" ht="19.5" customHeight="1" s="22">
      <c r="A24" s="37">
        <f>IF(B24&lt;&gt;"",ROW()-1,"")</f>
        <v/>
      </c>
      <c r="B24" s="27" t="inlineStr">
        <is>
          <t>عبد الكريم نور</t>
        </is>
      </c>
      <c r="C24" s="27" t="inlineStr">
        <is>
          <t>اللغة الفرنسية</t>
        </is>
      </c>
      <c r="D24" s="34" t="inlineStr">
        <is>
          <t>1023</t>
        </is>
      </c>
    </row>
    <row r="25" ht="19.5" customHeight="1" s="22">
      <c r="A25" s="37">
        <f>IF(B25&lt;&gt;"",ROW()-1,"")</f>
        <v/>
      </c>
      <c r="B25" s="27" t="inlineStr">
        <is>
          <t>سيلين بريك</t>
        </is>
      </c>
      <c r="C25" s="27" t="inlineStr">
        <is>
          <t>اللغة الفرنسية</t>
        </is>
      </c>
      <c r="D25" s="34" t="inlineStr">
        <is>
          <t>1024</t>
        </is>
      </c>
    </row>
    <row r="26" ht="19.5" customHeight="1" s="22">
      <c r="A26" s="37">
        <f>IF(B26&lt;&gt;"",ROW()-1,"")</f>
        <v/>
      </c>
      <c r="B26" s="27" t="inlineStr">
        <is>
          <t>جمال الطيب</t>
        </is>
      </c>
      <c r="C26" s="27" t="inlineStr">
        <is>
          <t>التاريخ والجغرافيا</t>
        </is>
      </c>
      <c r="D26" s="34" t="inlineStr">
        <is>
          <t>1025</t>
        </is>
      </c>
    </row>
    <row r="27" ht="19.5" customHeight="1" s="22">
      <c r="A27" s="37">
        <f>IF(B27&lt;&gt;"",ROW()-1,"")</f>
        <v/>
      </c>
      <c r="B27" s="27" t="inlineStr">
        <is>
          <t>ليلى بنحدو</t>
        </is>
      </c>
      <c r="C27" s="27" t="inlineStr">
        <is>
          <t>التاريخ والجغرافيا</t>
        </is>
      </c>
      <c r="D27" s="34" t="inlineStr">
        <is>
          <t>1026</t>
        </is>
      </c>
    </row>
    <row r="28" ht="19.5" customHeight="1" s="22">
      <c r="A28" s="37">
        <f>IF(B28&lt;&gt;"",ROW()-1,"")</f>
        <v/>
      </c>
      <c r="B28" s="27" t="inlineStr">
        <is>
          <t>منى بنمسعود</t>
        </is>
      </c>
      <c r="C28" s="27" t="inlineStr">
        <is>
          <t>التاريخ والجغرافيا</t>
        </is>
      </c>
      <c r="D28" s="34" t="inlineStr">
        <is>
          <t>1027</t>
        </is>
      </c>
    </row>
    <row r="29" ht="19.5" customHeight="1" s="22">
      <c r="A29" s="37">
        <f>IF(B29&lt;&gt;"",ROW()-1,"")</f>
        <v/>
      </c>
      <c r="B29" s="27" t="inlineStr">
        <is>
          <t>عصام الشريف</t>
        </is>
      </c>
      <c r="C29" s="27" t="inlineStr">
        <is>
          <t>الاقتصاد</t>
        </is>
      </c>
      <c r="D29" s="34" t="inlineStr">
        <is>
          <t>1028</t>
        </is>
      </c>
    </row>
    <row r="30" ht="19.5" customHeight="1" s="22">
      <c r="A30" s="37">
        <f>IF(B30&lt;&gt;"",ROW()-1,"")</f>
        <v/>
      </c>
      <c r="B30" s="27" t="inlineStr">
        <is>
          <t>بتول القادري</t>
        </is>
      </c>
      <c r="C30" s="27" t="inlineStr">
        <is>
          <t>الاقتصاد</t>
        </is>
      </c>
      <c r="D30" s="34" t="inlineStr">
        <is>
          <t>1029</t>
        </is>
      </c>
    </row>
    <row r="31" ht="19.5" customHeight="1" s="22">
      <c r="A31" s="37">
        <f>IF(B31&lt;&gt;"",ROW()-1,"")</f>
        <v/>
      </c>
      <c r="B31" s="27" t="inlineStr">
        <is>
          <t>وسام قرشي</t>
        </is>
      </c>
      <c r="C31" s="27" t="inlineStr">
        <is>
          <t>الاقتصاد</t>
        </is>
      </c>
      <c r="D31" s="34" t="inlineStr">
        <is>
          <t>1030</t>
        </is>
      </c>
    </row>
    <row r="32" ht="19.5" customHeight="1" s="22">
      <c r="A32" s="37">
        <f>IF(B32&lt;&gt;"",ROW()-1,"")</f>
        <v/>
      </c>
      <c r="B32" s="27" t="inlineStr">
        <is>
          <t>إيمان تيزي</t>
        </is>
      </c>
      <c r="C32" s="27" t="inlineStr">
        <is>
          <t>اللغة الإنجليزية</t>
        </is>
      </c>
      <c r="D32" s="34" t="inlineStr">
        <is>
          <t>1031</t>
        </is>
      </c>
    </row>
    <row r="33" ht="19.5" customHeight="1" s="22">
      <c r="A33" s="37">
        <f>IF(B33&lt;&gt;"",ROW()-1,"")</f>
        <v/>
      </c>
      <c r="B33" s="27" t="inlineStr">
        <is>
          <t>أنس بوخارة</t>
        </is>
      </c>
      <c r="C33" s="27" t="inlineStr">
        <is>
          <t>اللغة الإنجليزية</t>
        </is>
      </c>
      <c r="D33" s="34" t="inlineStr">
        <is>
          <t>1032</t>
        </is>
      </c>
    </row>
    <row r="34" ht="19.5" customHeight="1" s="22">
      <c r="A34" s="37">
        <f>IF(B34&lt;&gt;"",ROW()-1,"")</f>
        <v/>
      </c>
      <c r="B34" s="27" t="inlineStr">
        <is>
          <t>سارة الزياني</t>
        </is>
      </c>
      <c r="C34" s="27" t="inlineStr">
        <is>
          <t>اللغة الإنجليزية</t>
        </is>
      </c>
      <c r="D34" s="34" t="inlineStr">
        <is>
          <t>1033</t>
        </is>
      </c>
    </row>
    <row r="35" ht="19.5" customHeight="1" s="22">
      <c r="A35" s="37">
        <f>IF(B35&lt;&gt;"",ROW()-1,"")</f>
        <v/>
      </c>
      <c r="B35" s="27" t="inlineStr">
        <is>
          <t>فؤاد بلحسن</t>
        </is>
      </c>
      <c r="C35" s="27" t="inlineStr">
        <is>
          <t>اللغة الإنجليزية</t>
        </is>
      </c>
      <c r="D35" s="34" t="inlineStr">
        <is>
          <t>1034</t>
        </is>
      </c>
    </row>
    <row r="36" ht="19.5" customHeight="1" s="22">
      <c r="A36" s="37">
        <f>IF(B36&lt;&gt;"",ROW()-1,"")</f>
        <v/>
      </c>
      <c r="B36" s="27" t="inlineStr">
        <is>
          <t>رانيا الحموي</t>
        </is>
      </c>
      <c r="C36" s="27" t="inlineStr">
        <is>
          <t>اللغة الإنجليزية</t>
        </is>
      </c>
      <c r="D36" s="34" t="inlineStr">
        <is>
          <t>1035</t>
        </is>
      </c>
    </row>
    <row r="37" ht="19.5" customHeight="1" s="22">
      <c r="A37" s="37">
        <f>IF(B37&lt;&gt;"",ROW()-1,"")</f>
        <v/>
      </c>
      <c r="B37" s="27" t="inlineStr">
        <is>
          <t>خالد السعيد</t>
        </is>
      </c>
      <c r="C37" s="27" t="inlineStr">
        <is>
          <t>الترجمة</t>
        </is>
      </c>
      <c r="D37" s="34" t="inlineStr">
        <is>
          <t>1036</t>
        </is>
      </c>
    </row>
    <row r="38" ht="19.5" customHeight="1" s="22">
      <c r="A38" s="37">
        <f>IF(B38&lt;&gt;"",ROW()-1,"")</f>
        <v/>
      </c>
      <c r="B38" s="27" t="inlineStr">
        <is>
          <t>آية الله</t>
        </is>
      </c>
      <c r="C38" s="27" t="inlineStr">
        <is>
          <t>الترجمة</t>
        </is>
      </c>
      <c r="D38" s="34" t="inlineStr">
        <is>
          <t>1037</t>
        </is>
      </c>
    </row>
    <row r="39" ht="19.5" customHeight="1" s="22">
      <c r="A39" s="37">
        <f>IF(B39&lt;&gt;"",ROW()-1,"")</f>
        <v/>
      </c>
      <c r="B39" s="27" t="inlineStr">
        <is>
          <t>ريم الأنصاري</t>
        </is>
      </c>
      <c r="C39" s="27" t="inlineStr">
        <is>
          <t>الترجمة</t>
        </is>
      </c>
      <c r="D39" s="34" t="inlineStr">
        <is>
          <t>1038</t>
        </is>
      </c>
    </row>
    <row r="40" ht="19.5" customHeight="1" s="22">
      <c r="A40" s="37">
        <f>IF(B40&lt;&gt;"",ROW()-1,"")</f>
        <v/>
      </c>
      <c r="B40" s="27" t="inlineStr">
        <is>
          <t>سعاد بنسالم</t>
        </is>
      </c>
      <c r="C40" s="27" t="inlineStr">
        <is>
          <t>الترجمة</t>
        </is>
      </c>
      <c r="D40" s="34" t="inlineStr">
        <is>
          <t>1039</t>
        </is>
      </c>
    </row>
    <row r="41" ht="19.5" customHeight="1" s="22">
      <c r="A41" s="37">
        <f>IF(B41&lt;&gt;"",ROW()-1,"")</f>
        <v/>
      </c>
      <c r="B41" s="27" t="inlineStr">
        <is>
          <t>مريم حداد</t>
        </is>
      </c>
      <c r="C41" s="27" t="inlineStr">
        <is>
          <t>الترجمة</t>
        </is>
      </c>
      <c r="D41" s="34" t="inlineStr">
        <is>
          <t>1040</t>
        </is>
      </c>
    </row>
    <row r="42" ht="19.5" customHeight="1" s="22">
      <c r="A42" s="37">
        <f>IF(B42&lt;&gt;"",ROW()-1,"")</f>
        <v/>
      </c>
      <c r="B42" s="27" t="inlineStr">
        <is>
          <t>نور الهدى</t>
        </is>
      </c>
      <c r="C42" s="27" t="inlineStr">
        <is>
          <t>الفلسفة</t>
        </is>
      </c>
      <c r="D42" s="34" t="inlineStr">
        <is>
          <t>1041</t>
        </is>
      </c>
    </row>
    <row r="43" ht="19.5" customHeight="1" s="22">
      <c r="A43" s="37">
        <f>IF(B43&lt;&gt;"",ROW()-1,"")</f>
        <v/>
      </c>
      <c r="B43" s="27" t="inlineStr">
        <is>
          <t>عمر بنعلي</t>
        </is>
      </c>
      <c r="C43" s="27" t="inlineStr">
        <is>
          <t>الفلسفة</t>
        </is>
      </c>
      <c r="D43" s="34" t="inlineStr">
        <is>
          <t>1042</t>
        </is>
      </c>
    </row>
    <row r="44" ht="19.5" customHeight="1" s="22">
      <c r="A44" s="37">
        <f>IF(B44&lt;&gt;"",ROW()-1,"")</f>
        <v/>
      </c>
      <c r="B44" s="27" t="inlineStr">
        <is>
          <t>ياسر الغزالي</t>
        </is>
      </c>
      <c r="C44" s="27" t="inlineStr">
        <is>
          <t>الفلسفة</t>
        </is>
      </c>
      <c r="D44" s="34" t="inlineStr">
        <is>
          <t>1043</t>
        </is>
      </c>
    </row>
    <row r="45" ht="19.5" customHeight="1" s="22">
      <c r="A45" s="37">
        <f>IF(B45&lt;&gt;"",ROW()-1,"")</f>
        <v/>
      </c>
      <c r="B45" s="27" t="inlineStr">
        <is>
          <t>آسية المنصور</t>
        </is>
      </c>
      <c r="C45" s="27" t="inlineStr">
        <is>
          <t>التربية الإسلامية</t>
        </is>
      </c>
      <c r="D45" s="34" t="inlineStr">
        <is>
          <t>1044</t>
        </is>
      </c>
    </row>
    <row r="46" ht="19.5" customHeight="1" s="22">
      <c r="A46" s="37">
        <f>IF(B46&lt;&gt;"",ROW()-1,"")</f>
        <v/>
      </c>
      <c r="B46" s="27" t="inlineStr">
        <is>
          <t>حميد الطاهر</t>
        </is>
      </c>
      <c r="C46" s="27" t="inlineStr">
        <is>
          <t>التربية الإسلامية</t>
        </is>
      </c>
      <c r="D46" s="34" t="inlineStr">
        <is>
          <t>1045</t>
        </is>
      </c>
    </row>
    <row r="47" ht="19.5" customHeight="1" s="22">
      <c r="A47" s="37">
        <f>IF(B47&lt;&gt;"",ROW()-1,"")</f>
        <v/>
      </c>
      <c r="B47" s="27" t="inlineStr">
        <is>
          <t>سامية بوشامة</t>
        </is>
      </c>
      <c r="C47" s="27" t="inlineStr">
        <is>
          <t>علوم الحياة والأرض</t>
        </is>
      </c>
      <c r="D47" s="34" t="inlineStr">
        <is>
          <t>1046</t>
        </is>
      </c>
    </row>
    <row r="48" ht="19.5" customHeight="1" s="22">
      <c r="A48" s="37">
        <f>IF(B48&lt;&gt;"",ROW()-1,"")</f>
        <v/>
      </c>
      <c r="B48" s="41" t="n"/>
      <c r="C48" s="41" t="n"/>
      <c r="D48" s="41" t="n"/>
    </row>
    <row r="49" ht="19.5" customHeight="1" s="22">
      <c r="A49" s="37">
        <f>IF(B49&lt;&gt;"",ROW()-1,"")</f>
        <v/>
      </c>
      <c r="B49" s="42" t="n"/>
      <c r="C49" s="42" t="n"/>
      <c r="D49" s="42" t="n"/>
    </row>
    <row r="50" ht="19.5" customHeight="1" s="22">
      <c r="A50" s="37">
        <f>IF(B50&lt;&gt;"",ROW()-1,"")</f>
        <v/>
      </c>
      <c r="B50" s="41" t="n"/>
      <c r="C50" s="41" t="n"/>
      <c r="D50" s="41" t="n"/>
    </row>
    <row r="51" ht="19.5" customHeight="1" s="22">
      <c r="A51" s="37">
        <f>IF(B51&lt;&gt;"",ROW()-1,"")</f>
        <v/>
      </c>
      <c r="B51" s="42" t="n"/>
      <c r="C51" s="42" t="n"/>
      <c r="D51" s="42" t="n"/>
    </row>
    <row r="52" ht="19.5" customHeight="1" s="22">
      <c r="A52" s="37">
        <f>IF(B52&lt;&gt;"",ROW()-1,"")</f>
        <v/>
      </c>
      <c r="B52" s="41" t="n"/>
      <c r="C52" s="41" t="n"/>
      <c r="D52" s="41" t="n"/>
    </row>
    <row r="53" ht="19.5" customHeight="1" s="22">
      <c r="A53" s="37">
        <f>IF(B53&lt;&gt;"",ROW()-1,"")</f>
        <v/>
      </c>
      <c r="B53" s="42" t="n"/>
      <c r="C53" s="42" t="n"/>
      <c r="D53" s="42" t="n"/>
    </row>
    <row r="54" ht="19.5" customHeight="1" s="22">
      <c r="A54" s="37">
        <f>IF(B54&lt;&gt;"",ROW()-1,"")</f>
        <v/>
      </c>
      <c r="B54" s="41" t="n"/>
      <c r="C54" s="41" t="n"/>
      <c r="D54" s="41" t="n"/>
    </row>
    <row r="55" ht="19.5" customHeight="1" s="22">
      <c r="A55" s="37">
        <f>IF(B55&lt;&gt;"",ROW()-1,"")</f>
        <v/>
      </c>
      <c r="B55" s="42" t="n"/>
      <c r="C55" s="42" t="n"/>
      <c r="D55" s="42" t="n"/>
    </row>
    <row r="56" ht="19.5" customHeight="1" s="22">
      <c r="A56" s="37">
        <f>IF(B56&lt;&gt;"",ROW()-1,"")</f>
        <v/>
      </c>
      <c r="B56" s="41" t="n"/>
      <c r="C56" s="41" t="n"/>
      <c r="D56" s="41" t="n"/>
    </row>
    <row r="57" ht="19.5" customHeight="1" s="22">
      <c r="A57" s="37">
        <f>IF(B57&lt;&gt;"",ROW()-1,"")</f>
        <v/>
      </c>
      <c r="B57" s="42" t="n"/>
      <c r="C57" s="42" t="n"/>
      <c r="D57" s="42" t="n"/>
    </row>
    <row r="58" ht="19.5" customHeight="1" s="22">
      <c r="A58" s="37">
        <f>IF(B58&lt;&gt;"",ROW()-1,"")</f>
        <v/>
      </c>
      <c r="B58" s="41" t="n"/>
      <c r="C58" s="41" t="n"/>
      <c r="D58" s="41" t="n"/>
    </row>
    <row r="59" ht="19.5" customHeight="1" s="22">
      <c r="A59" s="37">
        <f>IF(B59&lt;&gt;"",ROW()-1,"")</f>
        <v/>
      </c>
      <c r="B59" s="42" t="n"/>
      <c r="C59" s="42" t="n"/>
      <c r="D59" s="42" t="n"/>
    </row>
    <row r="60" ht="19.5" customHeight="1" s="22">
      <c r="A60" s="37">
        <f>IF(B60&lt;&gt;"",ROW()-1,"")</f>
        <v/>
      </c>
      <c r="B60" s="41" t="n"/>
      <c r="C60" s="41" t="n"/>
      <c r="D60" s="41" t="n"/>
    </row>
    <row r="61" ht="19.5" customHeight="1" s="22">
      <c r="A61" s="37">
        <f>IF(B61&lt;&gt;"",ROW()-1,"")</f>
        <v/>
      </c>
      <c r="B61" s="42" t="n"/>
      <c r="C61" s="42" t="n"/>
      <c r="D61" s="42" t="n"/>
    </row>
    <row r="62" ht="19.5" customHeight="1" s="22">
      <c r="A62" s="37">
        <f>IF(B62&lt;&gt;"",ROW()-1,"")</f>
        <v/>
      </c>
      <c r="B62" s="41" t="n"/>
      <c r="C62" s="41" t="n"/>
      <c r="D62" s="41" t="n"/>
    </row>
    <row r="63" ht="19.5" customHeight="1" s="22">
      <c r="A63" s="37">
        <f>IF(B63&lt;&gt;"",ROW()-1,"")</f>
        <v/>
      </c>
      <c r="B63" s="42" t="n"/>
      <c r="C63" s="42" t="n"/>
      <c r="D63" s="42" t="n"/>
    </row>
    <row r="64" ht="19.5" customHeight="1" s="22">
      <c r="A64" s="37">
        <f>IF(B64&lt;&gt;"",ROW()-1,"")</f>
        <v/>
      </c>
      <c r="B64" s="41" t="n"/>
      <c r="C64" s="41" t="n"/>
      <c r="D64" s="41" t="n"/>
    </row>
    <row r="65" ht="19.5" customHeight="1" s="22">
      <c r="A65" s="37">
        <f>IF(B65&lt;&gt;"",ROW()-1,"")</f>
        <v/>
      </c>
      <c r="B65" s="42" t="n"/>
      <c r="C65" s="42" t="n"/>
      <c r="D65" s="42" t="n"/>
    </row>
    <row r="66" ht="19.5" customHeight="1" s="22">
      <c r="A66" s="37">
        <f>IF(B66&lt;&gt;"",ROW()-1,"")</f>
        <v/>
      </c>
      <c r="B66" s="41" t="n"/>
      <c r="C66" s="41" t="n"/>
      <c r="D66" s="41" t="n"/>
    </row>
    <row r="67" ht="19.5" customHeight="1" s="22">
      <c r="A67" s="37">
        <f>IF(B67&lt;&gt;"",ROW()-1,"")</f>
        <v/>
      </c>
      <c r="B67" s="42" t="n"/>
      <c r="C67" s="42" t="n"/>
      <c r="D67" s="42" t="n"/>
    </row>
    <row r="68" ht="19.5" customHeight="1" s="22">
      <c r="A68" s="37">
        <f>IF(B68&lt;&gt;"",ROW()-1,"")</f>
        <v/>
      </c>
      <c r="B68" s="41" t="n"/>
      <c r="C68" s="41" t="n"/>
      <c r="D68" s="41" t="n"/>
    </row>
    <row r="69" ht="19.5" customHeight="1" s="22">
      <c r="A69" s="37">
        <f>IF(B69&lt;&gt;"",ROW()-1,"")</f>
        <v/>
      </c>
      <c r="B69" s="42" t="n"/>
      <c r="C69" s="42" t="n"/>
      <c r="D69" s="42" t="n"/>
    </row>
    <row r="70" ht="19.5" customHeight="1" s="22">
      <c r="A70" s="37">
        <f>IF(B70&lt;&gt;"",ROW()-1,"")</f>
        <v/>
      </c>
      <c r="B70" s="41" t="n"/>
      <c r="C70" s="41" t="n"/>
      <c r="D70" s="41" t="n"/>
    </row>
    <row r="71" ht="19.5" customHeight="1" s="22">
      <c r="A71" s="37">
        <f>IF(B71&lt;&gt;"",ROW()-1,"")</f>
        <v/>
      </c>
      <c r="B71" s="42" t="n"/>
      <c r="C71" s="42" t="n"/>
      <c r="D71" s="42" t="n"/>
    </row>
    <row r="72" ht="19.5" customHeight="1" s="22">
      <c r="A72" s="37">
        <f>IF(B72&lt;&gt;"",ROW()-1,"")</f>
        <v/>
      </c>
      <c r="B72" s="41" t="n"/>
      <c r="C72" s="41" t="n"/>
      <c r="D72" s="41" t="n"/>
    </row>
    <row r="73" ht="19.5" customHeight="1" s="22">
      <c r="A73" s="37">
        <f>IF(B73&lt;&gt;"",ROW()-1,"")</f>
        <v/>
      </c>
      <c r="B73" s="42" t="n"/>
      <c r="C73" s="42" t="n"/>
      <c r="D73" s="42" t="n"/>
    </row>
    <row r="74" ht="19.5" customHeight="1" s="22">
      <c r="A74" s="37">
        <f>IF(B74&lt;&gt;"",ROW()-1,"")</f>
        <v/>
      </c>
      <c r="B74" s="41" t="n"/>
      <c r="C74" s="41" t="n"/>
      <c r="D74" s="41" t="n"/>
    </row>
    <row r="75" ht="19.5" customHeight="1" s="22">
      <c r="A75" s="37">
        <f>IF(B75&lt;&gt;"",ROW()-1,"")</f>
        <v/>
      </c>
      <c r="B75" s="42" t="n"/>
      <c r="C75" s="42" t="n"/>
      <c r="D75" s="42" t="n"/>
    </row>
    <row r="76" ht="19.5" customHeight="1" s="22">
      <c r="A76" s="37">
        <f>IF(B76&lt;&gt;"",ROW()-1,"")</f>
        <v/>
      </c>
      <c r="B76" s="41" t="n"/>
      <c r="C76" s="41" t="n"/>
      <c r="D76" s="41" t="n"/>
    </row>
    <row r="77" ht="19.5" customHeight="1" s="22">
      <c r="A77" s="37">
        <f>IF(B77&lt;&gt;"",ROW()-1,"")</f>
        <v/>
      </c>
      <c r="B77" s="42" t="n"/>
      <c r="C77" s="42" t="n"/>
      <c r="D77" s="42" t="n"/>
    </row>
    <row r="78" ht="19.5" customHeight="1" s="22">
      <c r="A78" s="37">
        <f>IF(B78&lt;&gt;"",ROW()-1,"")</f>
        <v/>
      </c>
      <c r="B78" s="41" t="n"/>
      <c r="C78" s="41" t="n"/>
      <c r="D78" s="41" t="n"/>
    </row>
    <row r="79" ht="19.5" customHeight="1" s="22">
      <c r="A79" s="37">
        <f>IF(B79&lt;&gt;"",ROW()-1,"")</f>
        <v/>
      </c>
      <c r="B79" s="42" t="n"/>
      <c r="C79" s="42" t="n"/>
      <c r="D79" s="42" t="n"/>
    </row>
    <row r="80" ht="19.5" customHeight="1" s="22">
      <c r="A80" s="37">
        <f>IF(B80&lt;&gt;"",ROW()-1,"")</f>
        <v/>
      </c>
      <c r="B80" s="41" t="n"/>
      <c r="C80" s="41" t="n"/>
      <c r="D80" s="41" t="n"/>
    </row>
    <row r="81" ht="19.5" customHeight="1" s="22">
      <c r="A81" s="37">
        <f>IF(B81&lt;&gt;"",ROW()-1,"")</f>
        <v/>
      </c>
      <c r="B81" s="42" t="n"/>
      <c r="C81" s="42" t="n"/>
      <c r="D81" s="42" t="n"/>
    </row>
    <row r="82" ht="19.5" customHeight="1" s="22">
      <c r="A82" s="37">
        <f>IF(B82&lt;&gt;"",ROW()-1,"")</f>
        <v/>
      </c>
      <c r="B82" s="41" t="n"/>
      <c r="C82" s="41" t="n"/>
      <c r="D82" s="41" t="n"/>
    </row>
    <row r="83" ht="19.5" customHeight="1" s="22">
      <c r="A83" s="37">
        <f>IF(B83&lt;&gt;"",ROW()-1,"")</f>
        <v/>
      </c>
      <c r="B83" s="42" t="n"/>
      <c r="C83" s="42" t="n"/>
      <c r="D83" s="42" t="n"/>
    </row>
    <row r="84" ht="19.5" customHeight="1" s="22">
      <c r="A84" s="37">
        <f>IF(B84&lt;&gt;"",ROW()-1,"")</f>
        <v/>
      </c>
      <c r="B84" s="41" t="n"/>
      <c r="C84" s="41" t="n"/>
      <c r="D84" s="41" t="n"/>
    </row>
    <row r="85" ht="19.5" customHeight="1" s="22">
      <c r="A85" s="37">
        <f>IF(B85&lt;&gt;"",ROW()-1,"")</f>
        <v/>
      </c>
      <c r="B85" s="42" t="n"/>
      <c r="C85" s="42" t="n"/>
      <c r="D85" s="42" t="n"/>
    </row>
    <row r="86" ht="19.5" customHeight="1" s="22">
      <c r="A86" s="37">
        <f>IF(B86&lt;&gt;"",ROW()-1,"")</f>
        <v/>
      </c>
      <c r="B86" s="41" t="n"/>
      <c r="C86" s="41" t="n"/>
      <c r="D86" s="41" t="n"/>
    </row>
    <row r="87" ht="19.5" customHeight="1" s="22">
      <c r="A87" s="37">
        <f>IF(B87&lt;&gt;"",ROW()-1,"")</f>
        <v/>
      </c>
      <c r="B87" s="42" t="n"/>
      <c r="C87" s="42" t="n"/>
      <c r="D87" s="42" t="n"/>
    </row>
    <row r="88" ht="19.5" customHeight="1" s="22">
      <c r="A88" s="37">
        <f>IF(B88&lt;&gt;"",ROW()-1,"")</f>
        <v/>
      </c>
      <c r="B88" s="41" t="n"/>
      <c r="C88" s="41" t="n"/>
      <c r="D88" s="41" t="n"/>
    </row>
    <row r="89" ht="19.5" customHeight="1" s="22">
      <c r="A89" s="37">
        <f>IF(B89&lt;&gt;"",ROW()-1,"")</f>
        <v/>
      </c>
      <c r="B89" s="42" t="n"/>
      <c r="C89" s="42" t="n"/>
      <c r="D89" s="42" t="n"/>
    </row>
    <row r="90" ht="19.5" customHeight="1" s="22">
      <c r="A90" s="37">
        <f>IF(B90&lt;&gt;"",ROW()-1,"")</f>
        <v/>
      </c>
      <c r="B90" s="41" t="n"/>
      <c r="C90" s="41" t="n"/>
      <c r="D90" s="41" t="n"/>
    </row>
    <row r="91" ht="19.5" customHeight="1" s="22">
      <c r="A91" s="37">
        <f>IF(B91&lt;&gt;"",ROW()-1,"")</f>
        <v/>
      </c>
      <c r="B91" s="42" t="n"/>
      <c r="C91" s="42" t="n"/>
      <c r="D91" s="42" t="n"/>
    </row>
    <row r="92" ht="19.5" customHeight="1" s="22">
      <c r="A92" s="37">
        <f>IF(B92&lt;&gt;"",ROW()-1,"")</f>
        <v/>
      </c>
      <c r="B92" s="41" t="n"/>
      <c r="C92" s="41" t="n"/>
      <c r="D92" s="41" t="n"/>
    </row>
    <row r="93" ht="19.5" customHeight="1" s="22">
      <c r="A93" s="37">
        <f>IF(B93&lt;&gt;"",ROW()-1,"")</f>
        <v/>
      </c>
      <c r="B93" s="42" t="n"/>
      <c r="C93" s="42" t="n"/>
      <c r="D93" s="42" t="n"/>
    </row>
    <row r="94" ht="19.5" customHeight="1" s="22">
      <c r="A94" s="37">
        <f>IF(B94&lt;&gt;"",ROW()-1,"")</f>
        <v/>
      </c>
      <c r="B94" s="41" t="n"/>
      <c r="C94" s="41" t="n"/>
      <c r="D94" s="41" t="n"/>
    </row>
    <row r="95" ht="19.5" customHeight="1" s="22">
      <c r="A95" s="37">
        <f>IF(B95&lt;&gt;"",ROW()-1,"")</f>
        <v/>
      </c>
      <c r="B95" s="42" t="n"/>
      <c r="C95" s="42" t="n"/>
      <c r="D95" s="42" t="n"/>
    </row>
    <row r="96" ht="19.5" customHeight="1" s="22">
      <c r="A96" s="37">
        <f>IF(B96&lt;&gt;"",ROW()-1,"")</f>
        <v/>
      </c>
      <c r="B96" s="41" t="n"/>
      <c r="C96" s="41" t="n"/>
      <c r="D96" s="41" t="n"/>
    </row>
    <row r="97" ht="19.5" customHeight="1" s="22">
      <c r="A97" s="37">
        <f>IF(B97&lt;&gt;"",ROW()-1,"")</f>
        <v/>
      </c>
      <c r="B97" s="42" t="n"/>
      <c r="C97" s="42" t="n"/>
      <c r="D97" s="42" t="n"/>
    </row>
    <row r="98" ht="19.5" customHeight="1" s="22">
      <c r="A98" s="37">
        <f>IF(B98&lt;&gt;"",ROW()-1,"")</f>
        <v/>
      </c>
      <c r="B98" s="41" t="n"/>
      <c r="C98" s="41" t="n"/>
      <c r="D98" s="41" t="n"/>
    </row>
    <row r="99" ht="19.5" customHeight="1" s="22">
      <c r="A99" s="37">
        <f>IF(B99&lt;&gt;"",ROW()-1,"")</f>
        <v/>
      </c>
      <c r="B99" s="42" t="n"/>
      <c r="C99" s="42" t="n"/>
      <c r="D99" s="42" t="n"/>
    </row>
    <row r="100" ht="19.5" customHeight="1" s="22">
      <c r="A100" s="37">
        <f>IF(B100&lt;&gt;"",ROW()-1,"")</f>
        <v/>
      </c>
      <c r="B100" s="41" t="n"/>
      <c r="C100" s="41" t="n"/>
      <c r="D100" s="41" t="n"/>
    </row>
    <row r="101" ht="19.5" customHeight="1" s="22">
      <c r="A101" s="37">
        <f>IF(B101&lt;&gt;"",ROW()-1,"")</f>
        <v/>
      </c>
      <c r="B101" s="42" t="n"/>
      <c r="C101" s="42" t="n"/>
      <c r="D101" s="42" t="n"/>
    </row>
    <row r="102" ht="19.5" customHeight="1" s="22">
      <c r="A102" s="37">
        <f>IF(B102&lt;&gt;"",ROW()-1,"")</f>
        <v/>
      </c>
      <c r="B102" s="41" t="n"/>
      <c r="C102" s="41" t="n"/>
      <c r="D102" s="41" t="n"/>
    </row>
    <row r="103" ht="19.5" customHeight="1" s="22">
      <c r="A103" s="37">
        <f>IF(B103&lt;&gt;"",ROW()-1,"")</f>
        <v/>
      </c>
      <c r="B103" s="42" t="n"/>
      <c r="C103" s="42" t="n"/>
      <c r="D103" s="42" t="n"/>
    </row>
    <row r="104" ht="19.5" customHeight="1" s="22">
      <c r="A104" s="37">
        <f>IF(B104&lt;&gt;"",ROW()-1,"")</f>
        <v/>
      </c>
      <c r="B104" s="41" t="n"/>
      <c r="C104" s="41" t="n"/>
      <c r="D104" s="41" t="n"/>
    </row>
    <row r="105" ht="19.5" customHeight="1" s="22">
      <c r="A105" s="37">
        <f>IF(B105&lt;&gt;"",ROW()-1,"")</f>
        <v/>
      </c>
      <c r="B105" s="42" t="n"/>
      <c r="C105" s="42" t="n"/>
      <c r="D105" s="42" t="n"/>
    </row>
    <row r="106" ht="19.5" customHeight="1" s="22">
      <c r="A106" s="37">
        <f>IF(B106&lt;&gt;"",ROW()-1,"")</f>
        <v/>
      </c>
      <c r="B106" s="41" t="n"/>
      <c r="C106" s="41" t="n"/>
      <c r="D106" s="41" t="n"/>
    </row>
    <row r="107" ht="19.5" customHeight="1" s="22">
      <c r="A107" s="37">
        <f>IF(B107&lt;&gt;"",ROW()-1,"")</f>
        <v/>
      </c>
      <c r="B107" s="42" t="n"/>
      <c r="C107" s="42" t="n"/>
      <c r="D107" s="42" t="n"/>
    </row>
    <row r="108" ht="19.5" customHeight="1" s="22">
      <c r="A108" s="37">
        <f>IF(B108&lt;&gt;"",ROW()-1,"")</f>
        <v/>
      </c>
      <c r="B108" s="41" t="n"/>
      <c r="C108" s="41" t="n"/>
      <c r="D108" s="41" t="n"/>
    </row>
    <row r="109" ht="19.5" customHeight="1" s="22">
      <c r="A109" s="37">
        <f>IF(B109&lt;&gt;"",ROW()-1,"")</f>
        <v/>
      </c>
      <c r="B109" s="42" t="n"/>
      <c r="C109" s="42" t="n"/>
      <c r="D109" s="42" t="n"/>
    </row>
    <row r="110" ht="19.5" customHeight="1" s="22">
      <c r="A110" s="37">
        <f>IF(B110&lt;&gt;"",ROW()-1,"")</f>
        <v/>
      </c>
      <c r="B110" s="41" t="n"/>
      <c r="C110" s="41" t="n"/>
      <c r="D110" s="41" t="n"/>
    </row>
    <row r="111" ht="19.5" customHeight="1" s="22">
      <c r="A111" s="37">
        <f>IF(B111&lt;&gt;"",ROW()-1,"")</f>
        <v/>
      </c>
      <c r="B111" s="42" t="n"/>
      <c r="C111" s="42" t="n"/>
      <c r="D111" s="42" t="n"/>
    </row>
    <row r="112" ht="19.5" customHeight="1" s="22">
      <c r="A112" s="37">
        <f>IF(B112&lt;&gt;"",ROW()-1,"")</f>
        <v/>
      </c>
      <c r="B112" s="41" t="n"/>
      <c r="C112" s="41" t="n"/>
      <c r="D112" s="41" t="n"/>
    </row>
    <row r="113" ht="19.5" customHeight="1" s="22">
      <c r="A113" s="37">
        <f>IF(B113&lt;&gt;"",ROW()-1,"")</f>
        <v/>
      </c>
      <c r="B113" s="42" t="n"/>
      <c r="C113" s="42" t="n"/>
      <c r="D113" s="42" t="n"/>
    </row>
    <row r="114" ht="19.5" customHeight="1" s="22">
      <c r="A114" s="37">
        <f>IF(B114&lt;&gt;"",ROW()-1,"")</f>
        <v/>
      </c>
      <c r="B114" s="41" t="n"/>
      <c r="C114" s="41" t="n"/>
      <c r="D114" s="41" t="n"/>
    </row>
    <row r="115" ht="19.5" customHeight="1" s="22">
      <c r="A115" s="37">
        <f>IF(B115&lt;&gt;"",ROW()-1,"")</f>
        <v/>
      </c>
      <c r="B115" s="42" t="n"/>
      <c r="C115" s="42" t="n"/>
      <c r="D115" s="42" t="n"/>
    </row>
    <row r="116" ht="19.5" customHeight="1" s="22">
      <c r="A116" s="37">
        <f>IF(B116&lt;&gt;"",ROW()-1,"")</f>
        <v/>
      </c>
      <c r="B116" s="41" t="n"/>
      <c r="C116" s="41" t="n"/>
      <c r="D116" s="41" t="n"/>
    </row>
    <row r="117" ht="19.5" customHeight="1" s="22">
      <c r="A117" s="37">
        <f>IF(B117&lt;&gt;"",ROW()-1,"")</f>
        <v/>
      </c>
      <c r="B117" s="42" t="n"/>
      <c r="C117" s="42" t="n"/>
      <c r="D117" s="42" t="n"/>
    </row>
    <row r="118" ht="19.5" customHeight="1" s="22">
      <c r="A118" s="37">
        <f>IF(B118&lt;&gt;"",ROW()-1,"")</f>
        <v/>
      </c>
      <c r="B118" s="41" t="n"/>
      <c r="C118" s="41" t="n"/>
      <c r="D118" s="41" t="n"/>
    </row>
    <row r="119" ht="19.5" customHeight="1" s="22">
      <c r="A119" s="37">
        <f>IF(B119&lt;&gt;"",ROW()-1,"")</f>
        <v/>
      </c>
      <c r="B119" s="42" t="n"/>
      <c r="C119" s="42" t="n"/>
      <c r="D119" s="42" t="n"/>
    </row>
    <row r="120" ht="19.5" customHeight="1" s="22">
      <c r="A120" s="37">
        <f>IF(B120&lt;&gt;"",ROW()-1,"")</f>
        <v/>
      </c>
      <c r="B120" s="41" t="n"/>
      <c r="C120" s="41" t="n"/>
      <c r="D120" s="41" t="n"/>
    </row>
    <row r="121" ht="19.5" customHeight="1" s="22">
      <c r="A121" s="37">
        <f>IF(B121&lt;&gt;"",ROW()-1,"")</f>
        <v/>
      </c>
      <c r="B121" s="42" t="n"/>
      <c r="C121" s="42" t="n"/>
      <c r="D121" s="42" t="n"/>
    </row>
    <row r="122" ht="19.5" customHeight="1" s="22">
      <c r="A122" s="37">
        <f>IF(B122&lt;&gt;"",ROW()-1,"")</f>
        <v/>
      </c>
      <c r="B122" s="41" t="n"/>
      <c r="C122" s="41" t="n"/>
      <c r="D122" s="41" t="n"/>
    </row>
    <row r="123" ht="19.5" customHeight="1" s="22">
      <c r="A123" s="37">
        <f>IF(B123&lt;&gt;"",ROW()-1,"")</f>
        <v/>
      </c>
      <c r="B123" s="42" t="n"/>
      <c r="C123" s="42" t="n"/>
      <c r="D123" s="42" t="n"/>
    </row>
    <row r="124" ht="19.5" customHeight="1" s="22">
      <c r="A124" s="37">
        <f>IF(B124&lt;&gt;"",ROW()-1,"")</f>
        <v/>
      </c>
      <c r="B124" s="41" t="n"/>
      <c r="C124" s="41" t="n"/>
      <c r="D124" s="41" t="n"/>
    </row>
    <row r="125" ht="19.5" customHeight="1" s="22">
      <c r="A125" s="37">
        <f>IF(B125&lt;&gt;"",ROW()-1,"")</f>
        <v/>
      </c>
      <c r="B125" s="42" t="n"/>
      <c r="C125" s="42" t="n"/>
      <c r="D125" s="42" t="n"/>
    </row>
    <row r="126" ht="19.5" customHeight="1" s="22">
      <c r="A126" s="37">
        <f>IF(B126&lt;&gt;"",ROW()-1,"")</f>
        <v/>
      </c>
      <c r="B126" s="41" t="n"/>
      <c r="C126" s="41" t="n"/>
      <c r="D126" s="41" t="n"/>
    </row>
    <row r="127" ht="19.5" customHeight="1" s="22">
      <c r="A127" s="37">
        <f>IF(B127&lt;&gt;"",ROW()-1,"")</f>
        <v/>
      </c>
      <c r="B127" s="42" t="n"/>
      <c r="C127" s="42" t="n"/>
      <c r="D127" s="42" t="n"/>
    </row>
    <row r="128" ht="19.5" customHeight="1" s="22">
      <c r="A128" s="37">
        <f>IF(B128&lt;&gt;"",ROW()-1,"")</f>
        <v/>
      </c>
      <c r="B128" s="41" t="n"/>
      <c r="C128" s="41" t="n"/>
      <c r="D128" s="41" t="n"/>
    </row>
    <row r="129" ht="19.5" customHeight="1" s="22">
      <c r="A129" s="37">
        <f>IF(B129&lt;&gt;"",ROW()-1,"")</f>
        <v/>
      </c>
      <c r="B129" s="42" t="n"/>
      <c r="C129" s="42" t="n"/>
      <c r="D129" s="42" t="n"/>
    </row>
    <row r="130" ht="19.5" customHeight="1" s="22">
      <c r="A130" s="37">
        <f>IF(B130&lt;&gt;"",ROW()-1,"")</f>
        <v/>
      </c>
      <c r="B130" s="41" t="n"/>
      <c r="C130" s="41" t="n"/>
      <c r="D130" s="41" t="n"/>
    </row>
    <row r="131" ht="19.5" customHeight="1" s="22">
      <c r="A131" s="37">
        <f>IF(B131&lt;&gt;"",ROW()-1,"")</f>
        <v/>
      </c>
      <c r="B131" s="42" t="n"/>
      <c r="C131" s="42" t="n"/>
      <c r="D131" s="42" t="n"/>
    </row>
    <row r="132" ht="19.5" customHeight="1" s="22">
      <c r="A132" s="37">
        <f>IF(B132&lt;&gt;"",ROW()-1,"")</f>
        <v/>
      </c>
      <c r="B132" s="41" t="n"/>
      <c r="C132" s="41" t="n"/>
      <c r="D132" s="41" t="n"/>
    </row>
    <row r="133" ht="19.5" customHeight="1" s="22">
      <c r="A133" s="37">
        <f>IF(B133&lt;&gt;"",ROW()-1,"")</f>
        <v/>
      </c>
      <c r="B133" s="42" t="n"/>
      <c r="C133" s="42" t="n"/>
      <c r="D133" s="42" t="n"/>
    </row>
    <row r="134" ht="19.5" customHeight="1" s="22">
      <c r="A134" s="37">
        <f>IF(B134&lt;&gt;"",ROW()-1,"")</f>
        <v/>
      </c>
      <c r="B134" s="41" t="n"/>
      <c r="C134" s="41" t="n"/>
      <c r="D134" s="41" t="n"/>
    </row>
    <row r="135" ht="19.5" customHeight="1" s="22">
      <c r="A135" s="37">
        <f>IF(B135&lt;&gt;"",ROW()-1,"")</f>
        <v/>
      </c>
      <c r="B135" s="42" t="n"/>
      <c r="C135" s="42" t="n"/>
      <c r="D135" s="42" t="n"/>
    </row>
    <row r="136" ht="19.5" customHeight="1" s="22">
      <c r="A136" s="37">
        <f>IF(B136&lt;&gt;"",ROW()-1,"")</f>
        <v/>
      </c>
      <c r="B136" s="41" t="n"/>
      <c r="C136" s="41" t="n"/>
      <c r="D136" s="41" t="n"/>
    </row>
    <row r="137" ht="19.5" customHeight="1" s="22">
      <c r="A137" s="37">
        <f>IF(B137&lt;&gt;"",ROW()-1,"")</f>
        <v/>
      </c>
      <c r="B137" s="42" t="n"/>
      <c r="C137" s="42" t="n"/>
      <c r="D137" s="42" t="n"/>
    </row>
    <row r="138" ht="19.5" customHeight="1" s="22">
      <c r="A138" s="37">
        <f>IF(B138&lt;&gt;"",ROW()-1,"")</f>
        <v/>
      </c>
      <c r="B138" s="41" t="n"/>
      <c r="C138" s="41" t="n"/>
      <c r="D138" s="41" t="n"/>
    </row>
    <row r="139" ht="19.5" customHeight="1" s="22">
      <c r="A139" s="37">
        <f>IF(B139&lt;&gt;"",ROW()-1,"")</f>
        <v/>
      </c>
      <c r="B139" s="42" t="n"/>
      <c r="C139" s="42" t="n"/>
      <c r="D139" s="42" t="n"/>
    </row>
    <row r="140" ht="19.5" customHeight="1" s="22">
      <c r="A140" s="37">
        <f>IF(B140&lt;&gt;"",ROW()-1,"")</f>
        <v/>
      </c>
      <c r="B140" s="41" t="n"/>
      <c r="C140" s="41" t="n"/>
      <c r="D140" s="41" t="n"/>
    </row>
    <row r="141" ht="19.5" customHeight="1" s="22">
      <c r="A141" s="37">
        <f>IF(B141&lt;&gt;"",ROW()-1,"")</f>
        <v/>
      </c>
      <c r="B141" s="42" t="n"/>
      <c r="C141" s="42" t="n"/>
      <c r="D141" s="42" t="n"/>
    </row>
    <row r="142" ht="19.5" customHeight="1" s="22">
      <c r="A142" s="37">
        <f>IF(B142&lt;&gt;"",ROW()-1,"")</f>
        <v/>
      </c>
      <c r="B142" s="41" t="n"/>
      <c r="C142" s="41" t="n"/>
      <c r="D142" s="41" t="n"/>
    </row>
    <row r="143" ht="19.5" customHeight="1" s="22">
      <c r="A143" s="37">
        <f>IF(B143&lt;&gt;"",ROW()-1,"")</f>
        <v/>
      </c>
      <c r="B143" s="42" t="n"/>
      <c r="C143" s="42" t="n"/>
      <c r="D143" s="42" t="n"/>
    </row>
    <row r="144" ht="19.5" customHeight="1" s="22">
      <c r="A144" s="37">
        <f>IF(B144&lt;&gt;"",ROW()-1,"")</f>
        <v/>
      </c>
      <c r="B144" s="41" t="n"/>
      <c r="C144" s="41" t="n"/>
      <c r="D144" s="41" t="n"/>
    </row>
    <row r="145" ht="19.5" customHeight="1" s="22">
      <c r="A145" s="37">
        <f>IF(B145&lt;&gt;"",ROW()-1,"")</f>
        <v/>
      </c>
      <c r="B145" s="42" t="n"/>
      <c r="C145" s="42" t="n"/>
      <c r="D145" s="42" t="n"/>
    </row>
    <row r="146" ht="19.5" customHeight="1" s="22">
      <c r="A146" s="37">
        <f>IF(B146&lt;&gt;"",ROW()-1,"")</f>
        <v/>
      </c>
      <c r="B146" s="41" t="n"/>
      <c r="C146" s="41" t="n"/>
      <c r="D146" s="41" t="n"/>
    </row>
    <row r="147" ht="19.5" customHeight="1" s="22">
      <c r="A147" s="37">
        <f>IF(B147&lt;&gt;"",ROW()-1,"")</f>
        <v/>
      </c>
      <c r="B147" s="42" t="n"/>
      <c r="C147" s="42" t="n"/>
      <c r="D147" s="42" t="n"/>
    </row>
    <row r="148" ht="19.5" customHeight="1" s="22">
      <c r="A148" s="37">
        <f>IF(B148&lt;&gt;"",ROW()-1,"")</f>
        <v/>
      </c>
      <c r="B148" s="41" t="n"/>
      <c r="C148" s="41" t="n"/>
      <c r="D148" s="41" t="n"/>
    </row>
    <row r="149" ht="19.5" customHeight="1" s="22">
      <c r="A149" s="37">
        <f>IF(B149&lt;&gt;"",ROW()-1,"")</f>
        <v/>
      </c>
      <c r="B149" s="42" t="n"/>
      <c r="C149" s="42" t="n"/>
      <c r="D149" s="42" t="n"/>
    </row>
    <row r="150" ht="19.5" customHeight="1" s="22">
      <c r="A150" s="37">
        <f>IF(B150&lt;&gt;"",ROW()-1,"")</f>
        <v/>
      </c>
      <c r="B150" s="41" t="n"/>
      <c r="C150" s="41" t="n"/>
      <c r="D150" s="41" t="n"/>
    </row>
    <row r="151" ht="19.5" customHeight="1" s="22">
      <c r="A151" s="37">
        <f>IF(B151&lt;&gt;"",ROW()-1,"")</f>
        <v/>
      </c>
      <c r="B151" s="42" t="n"/>
      <c r="C151" s="42" t="n"/>
      <c r="D151" s="42" t="n"/>
    </row>
    <row r="152" ht="19.5" customHeight="1" s="22">
      <c r="A152" s="37">
        <f>IF(B152&lt;&gt;"",ROW()-1,"")</f>
        <v/>
      </c>
      <c r="B152" s="41" t="n"/>
      <c r="C152" s="41" t="n"/>
      <c r="D152" s="41" t="n"/>
    </row>
    <row r="153" ht="19.5" customHeight="1" s="22">
      <c r="A153" s="37">
        <f>IF(B153&lt;&gt;"",ROW()-1,"")</f>
        <v/>
      </c>
      <c r="B153" s="42" t="n"/>
      <c r="C153" s="42" t="n"/>
      <c r="D153" s="42" t="n"/>
    </row>
    <row r="154" ht="19.5" customHeight="1" s="22">
      <c r="A154" s="37">
        <f>IF(B154&lt;&gt;"",ROW()-1,"")</f>
        <v/>
      </c>
      <c r="B154" s="41" t="n"/>
      <c r="C154" s="41" t="n"/>
      <c r="D154" s="41" t="n"/>
    </row>
    <row r="155" ht="19.5" customHeight="1" s="22">
      <c r="A155" s="37">
        <f>IF(B155&lt;&gt;"",ROW()-1,"")</f>
        <v/>
      </c>
      <c r="B155" s="42" t="n"/>
      <c r="C155" s="42" t="n"/>
      <c r="D155" s="42" t="n"/>
    </row>
    <row r="156" ht="19.5" customHeight="1" s="22">
      <c r="A156" s="37">
        <f>IF(B156&lt;&gt;"",ROW()-1,"")</f>
        <v/>
      </c>
      <c r="B156" s="41" t="n"/>
      <c r="C156" s="41" t="n"/>
      <c r="D156" s="41" t="n"/>
    </row>
    <row r="157" ht="19.5" customHeight="1" s="22">
      <c r="A157" s="37">
        <f>IF(B157&lt;&gt;"",ROW()-1,"")</f>
        <v/>
      </c>
      <c r="B157" s="42" t="n"/>
      <c r="C157" s="42" t="n"/>
      <c r="D157" s="42" t="n"/>
    </row>
    <row r="158" ht="19.5" customHeight="1" s="22">
      <c r="A158" s="37">
        <f>IF(B158&lt;&gt;"",ROW()-1,"")</f>
        <v/>
      </c>
      <c r="B158" s="41" t="n"/>
      <c r="C158" s="41" t="n"/>
      <c r="D158" s="41" t="n"/>
    </row>
    <row r="159" ht="19.5" customHeight="1" s="22">
      <c r="A159" s="37">
        <f>IF(B159&lt;&gt;"",ROW()-1,"")</f>
        <v/>
      </c>
      <c r="B159" s="42" t="n"/>
      <c r="C159" s="42" t="n"/>
      <c r="D159" s="42" t="n"/>
    </row>
    <row r="160" ht="19.5" customHeight="1" s="22">
      <c r="A160" s="37">
        <f>IF(B160&lt;&gt;"",ROW()-1,"")</f>
        <v/>
      </c>
      <c r="B160" s="41" t="n"/>
      <c r="C160" s="41" t="n"/>
      <c r="D160" s="41" t="n"/>
    </row>
    <row r="161" ht="19.5" customHeight="1" s="22">
      <c r="A161" s="37">
        <f>IF(B161&lt;&gt;"",ROW()-1,"")</f>
        <v/>
      </c>
      <c r="B161" s="42" t="n"/>
      <c r="C161" s="42" t="n"/>
      <c r="D161" s="42" t="n"/>
    </row>
    <row r="162" ht="19.5" customHeight="1" s="22">
      <c r="A162" s="37">
        <f>IF(B162&lt;&gt;"",ROW()-1,"")</f>
        <v/>
      </c>
      <c r="B162" s="41" t="n"/>
      <c r="C162" s="41" t="n"/>
      <c r="D162" s="41" t="n"/>
    </row>
    <row r="163" ht="19.5" customHeight="1" s="22">
      <c r="A163" s="37">
        <f>IF(B163&lt;&gt;"",ROW()-1,"")</f>
        <v/>
      </c>
      <c r="B163" s="42" t="n"/>
      <c r="C163" s="42" t="n"/>
      <c r="D163" s="42" t="n"/>
    </row>
    <row r="164" ht="19.5" customHeight="1" s="22">
      <c r="A164" s="37">
        <f>IF(B164&lt;&gt;"",ROW()-1,"")</f>
        <v/>
      </c>
      <c r="B164" s="41" t="n"/>
      <c r="C164" s="41" t="n"/>
      <c r="D164" s="41" t="n"/>
    </row>
    <row r="165" ht="19.5" customHeight="1" s="22">
      <c r="A165" s="37">
        <f>IF(B165&lt;&gt;"",ROW()-1,"")</f>
        <v/>
      </c>
      <c r="B165" s="42" t="n"/>
      <c r="C165" s="42" t="n"/>
      <c r="D165" s="42" t="n"/>
    </row>
    <row r="166" ht="19.5" customHeight="1" s="22">
      <c r="A166" s="37">
        <f>IF(B166&lt;&gt;"",ROW()-1,"")</f>
        <v/>
      </c>
      <c r="B166" s="41" t="n"/>
      <c r="C166" s="41" t="n"/>
      <c r="D166" s="41" t="n"/>
    </row>
    <row r="167" ht="19.5" customHeight="1" s="22">
      <c r="A167" s="37">
        <f>IF(B167&lt;&gt;"",ROW()-1,"")</f>
        <v/>
      </c>
      <c r="B167" s="42" t="n"/>
      <c r="C167" s="42" t="n"/>
      <c r="D167" s="42" t="n"/>
    </row>
    <row r="168" ht="19.5" customHeight="1" s="22">
      <c r="A168" s="37">
        <f>IF(B168&lt;&gt;"",ROW()-1,"")</f>
        <v/>
      </c>
      <c r="B168" s="41" t="n"/>
      <c r="C168" s="41" t="n"/>
      <c r="D168" s="41" t="n"/>
    </row>
    <row r="169" ht="19.5" customHeight="1" s="22">
      <c r="A169" s="37">
        <f>IF(B169&lt;&gt;"",ROW()-1,"")</f>
        <v/>
      </c>
      <c r="B169" s="42" t="n"/>
      <c r="C169" s="42" t="n"/>
      <c r="D169" s="42" t="n"/>
    </row>
    <row r="170" ht="19.5" customHeight="1" s="22">
      <c r="A170" s="37">
        <f>IF(B170&lt;&gt;"",ROW()-1,"")</f>
        <v/>
      </c>
      <c r="B170" s="41" t="n"/>
      <c r="C170" s="41" t="n"/>
      <c r="D170" s="41" t="n"/>
    </row>
    <row r="171" ht="19.5" customHeight="1" s="22">
      <c r="A171" s="37">
        <f>IF(B171&lt;&gt;"",ROW()-1,"")</f>
        <v/>
      </c>
      <c r="B171" s="42" t="n"/>
      <c r="C171" s="42" t="n"/>
      <c r="D171" s="42" t="n"/>
    </row>
    <row r="172" ht="19.5" customHeight="1" s="22">
      <c r="A172" s="37">
        <f>IF(B172&lt;&gt;"",ROW()-1,"")</f>
        <v/>
      </c>
      <c r="B172" s="41" t="n"/>
      <c r="C172" s="41" t="n"/>
      <c r="D172" s="41" t="n"/>
    </row>
    <row r="173" ht="19.5" customHeight="1" s="22">
      <c r="A173" s="37">
        <f>IF(B173&lt;&gt;"",ROW()-1,"")</f>
        <v/>
      </c>
      <c r="B173" s="42" t="n"/>
      <c r="C173" s="42" t="n"/>
      <c r="D173" s="42" t="n"/>
    </row>
    <row r="174" ht="19.5" customHeight="1" s="22">
      <c r="A174" s="37">
        <f>IF(B174&lt;&gt;"",ROW()-1,"")</f>
        <v/>
      </c>
      <c r="B174" s="41" t="n"/>
      <c r="C174" s="41" t="n"/>
      <c r="D174" s="41" t="n"/>
    </row>
    <row r="175" ht="19.5" customHeight="1" s="22">
      <c r="A175" s="37">
        <f>IF(B175&lt;&gt;"",ROW()-1,"")</f>
        <v/>
      </c>
      <c r="B175" s="42" t="n"/>
      <c r="C175" s="42" t="n"/>
      <c r="D175" s="42" t="n"/>
    </row>
    <row r="176" ht="19.5" customHeight="1" s="22">
      <c r="A176" s="37">
        <f>IF(B176&lt;&gt;"",ROW()-1,"")</f>
        <v/>
      </c>
      <c r="B176" s="41" t="n"/>
      <c r="C176" s="41" t="n"/>
      <c r="D176" s="41" t="n"/>
    </row>
    <row r="177" ht="19.5" customHeight="1" s="22">
      <c r="A177" s="37">
        <f>IF(B177&lt;&gt;"",ROW()-1,"")</f>
        <v/>
      </c>
      <c r="B177" s="42" t="n"/>
      <c r="C177" s="42" t="n"/>
      <c r="D177" s="42" t="n"/>
    </row>
    <row r="178" ht="19.5" customHeight="1" s="22">
      <c r="A178" s="37">
        <f>IF(B178&lt;&gt;"",ROW()-1,"")</f>
        <v/>
      </c>
      <c r="B178" s="41" t="n"/>
      <c r="C178" s="41" t="n"/>
      <c r="D178" s="41" t="n"/>
    </row>
    <row r="179" ht="19.5" customHeight="1" s="22">
      <c r="A179" s="37">
        <f>IF(B179&lt;&gt;"",ROW()-1,"")</f>
        <v/>
      </c>
      <c r="B179" s="42" t="n"/>
      <c r="C179" s="42" t="n"/>
      <c r="D179" s="42" t="n"/>
    </row>
    <row r="180" ht="19.5" customHeight="1" s="22">
      <c r="A180" s="37">
        <f>IF(B180&lt;&gt;"",ROW()-1,"")</f>
        <v/>
      </c>
      <c r="B180" s="41" t="n"/>
      <c r="C180" s="41" t="n"/>
      <c r="D180" s="41" t="n"/>
    </row>
    <row r="181" ht="19.5" customHeight="1" s="22">
      <c r="A181" s="37">
        <f>IF(B181&lt;&gt;"",ROW()-1,"")</f>
        <v/>
      </c>
      <c r="B181" s="42" t="n"/>
      <c r="C181" s="42" t="n"/>
      <c r="D181" s="42" t="n"/>
    </row>
    <row r="182" ht="19.5" customHeight="1" s="22">
      <c r="A182" s="37">
        <f>IF(B182&lt;&gt;"",ROW()-1,"")</f>
        <v/>
      </c>
      <c r="B182" s="41" t="n"/>
      <c r="C182" s="41" t="n"/>
      <c r="D182" s="41" t="n"/>
    </row>
    <row r="183" ht="19.5" customHeight="1" s="22">
      <c r="A183" s="37">
        <f>IF(B183&lt;&gt;"",ROW()-1,"")</f>
        <v/>
      </c>
      <c r="B183" s="42" t="n"/>
      <c r="C183" s="42" t="n"/>
      <c r="D183" s="42" t="n"/>
    </row>
    <row r="184" ht="19.5" customHeight="1" s="22">
      <c r="A184" s="37">
        <f>IF(B184&lt;&gt;"",ROW()-1,"")</f>
        <v/>
      </c>
      <c r="B184" s="41" t="n"/>
      <c r="C184" s="41" t="n"/>
      <c r="D184" s="41" t="n"/>
    </row>
    <row r="185" ht="19.5" customHeight="1" s="22">
      <c r="A185" s="37">
        <f>IF(B185&lt;&gt;"",ROW()-1,"")</f>
        <v/>
      </c>
      <c r="B185" s="42" t="n"/>
      <c r="C185" s="42" t="n"/>
      <c r="D185" s="42" t="n"/>
    </row>
    <row r="186" ht="19.5" customHeight="1" s="22">
      <c r="A186" s="37">
        <f>IF(B186&lt;&gt;"",ROW()-1,"")</f>
        <v/>
      </c>
      <c r="B186" s="41" t="n"/>
      <c r="C186" s="41" t="n"/>
      <c r="D186" s="41" t="n"/>
    </row>
    <row r="187" ht="19.5" customHeight="1" s="22">
      <c r="A187" s="37">
        <f>IF(B187&lt;&gt;"",ROW()-1,"")</f>
        <v/>
      </c>
      <c r="B187" s="42" t="n"/>
      <c r="C187" s="42" t="n"/>
      <c r="D187" s="42" t="n"/>
    </row>
    <row r="188" ht="19.5" customHeight="1" s="22">
      <c r="A188" s="37">
        <f>IF(B188&lt;&gt;"",ROW()-1,"")</f>
        <v/>
      </c>
      <c r="B188" s="41" t="n"/>
      <c r="C188" s="41" t="n"/>
      <c r="D188" s="41" t="n"/>
    </row>
    <row r="189" ht="19.5" customHeight="1" s="22">
      <c r="A189" s="37">
        <f>IF(B189&lt;&gt;"",ROW()-1,"")</f>
        <v/>
      </c>
      <c r="B189" s="42" t="n"/>
      <c r="C189" s="42" t="n"/>
      <c r="D189" s="42" t="n"/>
    </row>
    <row r="190" ht="19.5" customHeight="1" s="22">
      <c r="A190" s="37">
        <f>IF(B190&lt;&gt;"",ROW()-1,"")</f>
        <v/>
      </c>
      <c r="B190" s="41" t="n"/>
      <c r="C190" s="41" t="n"/>
      <c r="D190" s="41" t="n"/>
    </row>
    <row r="191" ht="19.5" customHeight="1" s="22">
      <c r="A191" s="37">
        <f>IF(B191&lt;&gt;"",ROW()-1,"")</f>
        <v/>
      </c>
      <c r="B191" s="42" t="n"/>
      <c r="C191" s="42" t="n"/>
      <c r="D191" s="42" t="n"/>
    </row>
    <row r="192" ht="19.5" customHeight="1" s="22">
      <c r="A192" s="37">
        <f>IF(B192&lt;&gt;"",ROW()-1,"")</f>
        <v/>
      </c>
      <c r="B192" s="41" t="n"/>
      <c r="C192" s="41" t="n"/>
      <c r="D192" s="41" t="n"/>
    </row>
    <row r="193" ht="19.5" customHeight="1" s="22">
      <c r="A193" s="37">
        <f>IF(B193&lt;&gt;"",ROW()-1,"")</f>
        <v/>
      </c>
      <c r="B193" s="42" t="n"/>
      <c r="C193" s="42" t="n"/>
      <c r="D193" s="42" t="n"/>
    </row>
    <row r="194" ht="19.5" customHeight="1" s="22">
      <c r="A194" s="37">
        <f>IF(B194&lt;&gt;"",ROW()-1,"")</f>
        <v/>
      </c>
      <c r="B194" s="41" t="n"/>
      <c r="C194" s="41" t="n"/>
      <c r="D194" s="41" t="n"/>
    </row>
    <row r="195" ht="19.5" customHeight="1" s="22">
      <c r="A195" s="37">
        <f>IF(B195&lt;&gt;"",ROW()-1,"")</f>
        <v/>
      </c>
      <c r="B195" s="42" t="n"/>
      <c r="C195" s="42" t="n"/>
      <c r="D195" s="42" t="n"/>
    </row>
    <row r="196" ht="19.5" customHeight="1" s="22">
      <c r="A196" s="37">
        <f>IF(B196&lt;&gt;"",ROW()-1,"")</f>
        <v/>
      </c>
      <c r="B196" s="41" t="n"/>
      <c r="C196" s="41" t="n"/>
      <c r="D196" s="41" t="n"/>
    </row>
    <row r="197" ht="19.5" customHeight="1" s="22">
      <c r="A197" s="37">
        <f>IF(B197&lt;&gt;"",ROW()-1,"")</f>
        <v/>
      </c>
      <c r="B197" s="42" t="n"/>
      <c r="C197" s="42" t="n"/>
      <c r="D197" s="42" t="n"/>
    </row>
    <row r="198" ht="19.5" customHeight="1" s="22">
      <c r="A198" s="37">
        <f>IF(B198&lt;&gt;"",ROW()-1,"")</f>
        <v/>
      </c>
      <c r="B198" s="41" t="n"/>
      <c r="C198" s="41" t="n"/>
      <c r="D198" s="41" t="n"/>
    </row>
    <row r="199" ht="19.5" customHeight="1" s="22">
      <c r="A199" s="37">
        <f>IF(B199&lt;&gt;"",ROW()-1,"")</f>
        <v/>
      </c>
      <c r="B199" s="42" t="n"/>
      <c r="C199" s="42" t="n"/>
      <c r="D199" s="42" t="n"/>
    </row>
    <row r="200" ht="19.5" customHeight="1" s="22">
      <c r="A200" s="37">
        <f>IF(B200&lt;&gt;"",ROW()-1,"")</f>
        <v/>
      </c>
      <c r="B200" s="41" t="n"/>
      <c r="C200" s="41" t="n"/>
      <c r="D200" s="41" t="n"/>
    </row>
    <row r="201" ht="19.5" customHeight="1" s="22">
      <c r="A201" s="37">
        <f>IF(B201&lt;&gt;"",ROW()-1,"")</f>
        <v/>
      </c>
      <c r="B201" s="42" t="n"/>
      <c r="C201" s="42" t="n"/>
      <c r="D201" s="42" t="n"/>
    </row>
  </sheetData>
  <dataValidations count="1">
    <dataValidation sqref="C2:C201" showDropDown="0" showInputMessage="0" showErrorMessage="0" allowBlank="1" type="list" errorStyle="stop" operator="between">
      <formula1>الإعدادات!$E$3:$E$16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U31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1" min="1" max="1"/>
    <col width="14" customWidth="1" style="21" min="2" max="21"/>
  </cols>
  <sheetData>
    <row r="1" ht="30" customHeight="1" s="22">
      <c r="A1" s="32" t="inlineStr">
        <is>
          <t>القاعة / الحصة</t>
        </is>
      </c>
      <c r="B1" s="32">
        <f>IF(الحصص!A2&lt;&gt;"",الحصص!A2,"")</f>
        <v/>
      </c>
      <c r="C1" s="32">
        <f>IF(الحصص!A3&lt;&gt;"",الحصص!A3,"")</f>
        <v/>
      </c>
      <c r="D1" s="32">
        <f>IF(الحصص!A4&lt;&gt;"",الحصص!A4,"")</f>
        <v/>
      </c>
      <c r="E1" s="32">
        <f>IF(الحصص!A5&lt;&gt;"",الحصص!A5,"")</f>
        <v/>
      </c>
      <c r="F1" s="32">
        <f>IF(الحصص!A6&lt;&gt;"",الحصص!A6,"")</f>
        <v/>
      </c>
      <c r="G1" s="32">
        <f>IF(الحصص!A7&lt;&gt;"",الحصص!A7,"")</f>
        <v/>
      </c>
      <c r="H1" s="32">
        <f>IF(الحصص!A8&lt;&gt;"",الحصص!A8,"")</f>
        <v/>
      </c>
      <c r="I1" s="32">
        <f>IF(الحصص!A9&lt;&gt;"",الحصص!A9,"")</f>
        <v/>
      </c>
      <c r="J1" s="32">
        <f>IF(الحصص!A10&lt;&gt;"",الحصص!A10,"")</f>
        <v/>
      </c>
      <c r="K1" s="32">
        <f>IF(الحصص!A11&lt;&gt;"",الحصص!A11,"")</f>
        <v/>
      </c>
      <c r="L1" s="32">
        <f>IF(الحصص!A12&lt;&gt;"",الحصص!A12,"")</f>
        <v/>
      </c>
      <c r="M1" s="32">
        <f>IF(الحصص!A13&lt;&gt;"",الحصص!A13,"")</f>
        <v/>
      </c>
      <c r="N1" s="32">
        <f>IF(الحصص!A14&lt;&gt;"",الحصص!A14,"")</f>
        <v/>
      </c>
      <c r="O1" s="32">
        <f>IF(الحصص!A15&lt;&gt;"",الحصص!A15,"")</f>
        <v/>
      </c>
      <c r="P1" s="32">
        <f>IF(الحصص!A16&lt;&gt;"",الحصص!A16,"")</f>
        <v/>
      </c>
      <c r="Q1" s="32">
        <f>IF(الحصص!A17&lt;&gt;"",الحصص!A17,"")</f>
        <v/>
      </c>
      <c r="R1" s="32">
        <f>IF(الحصص!A18&lt;&gt;"",الحصص!A18,"")</f>
        <v/>
      </c>
      <c r="S1" s="32">
        <f>IF(الحصص!A19&lt;&gt;"",الحصص!A19,"")</f>
        <v/>
      </c>
      <c r="T1" s="32">
        <f>IF(الحصص!A20&lt;&gt;"",الحصص!A20,"")</f>
        <v/>
      </c>
      <c r="U1" s="32">
        <f>IF(الحصص!A21&lt;&gt;"",الحصص!A21,"")</f>
        <v/>
      </c>
    </row>
    <row r="2" ht="19.5" customHeight="1" s="22">
      <c r="A2" s="43">
        <f>IF(1&lt;=الإعدادات!$C$3,"القاعة "&amp;TEXT(1,"0"),"")</f>
        <v/>
      </c>
      <c r="B2" s="44">
        <f>IF(AND($A2&lt;&gt;"",B$1&lt;&gt;"",1&lt;=IFERROR(VLOOKUP(B$1,الحصص!$A:$F,6,FALSE()),0)),"X","")</f>
        <v/>
      </c>
      <c r="C2" s="44">
        <f>IF(AND($A2&lt;&gt;"",C$1&lt;&gt;"",1&lt;=IFERROR(VLOOKUP(C$1,الحصص!$A:$F,6,FALSE()),0)),"X","")</f>
        <v/>
      </c>
      <c r="D2" s="44">
        <f>IF(AND($A2&lt;&gt;"",D$1&lt;&gt;"",1&lt;=IFERROR(VLOOKUP(D$1,الحصص!$A:$F,6,FALSE()),0)),"X","")</f>
        <v/>
      </c>
      <c r="E2" s="44">
        <f>IF(AND($A2&lt;&gt;"",E$1&lt;&gt;"",1&lt;=IFERROR(VLOOKUP(E$1,الحصص!$A:$F,6,FALSE()),0)),"X","")</f>
        <v/>
      </c>
      <c r="F2" s="44">
        <f>IF(AND($A2&lt;&gt;"",F$1&lt;&gt;"",1&lt;=IFERROR(VLOOKUP(F$1,الحصص!$A:$F,6,FALSE()),0)),"X","")</f>
        <v/>
      </c>
      <c r="G2" s="44">
        <f>IF(AND($A2&lt;&gt;"",G$1&lt;&gt;"",1&lt;=IFERROR(VLOOKUP(G$1,الحصص!$A:$F,6,FALSE()),0)),"X","")</f>
        <v/>
      </c>
      <c r="H2" s="44">
        <f>IF(AND($A2&lt;&gt;"",H$1&lt;&gt;"",1&lt;=IFERROR(VLOOKUP(H$1,الحصص!$A:$F,6,FALSE()),0)),"X","")</f>
        <v/>
      </c>
      <c r="I2" s="44">
        <f>IF(AND($A2&lt;&gt;"",I$1&lt;&gt;"",1&lt;=IFERROR(VLOOKUP(I$1,الحصص!$A:$F,6,FALSE()),0)),"X","")</f>
        <v/>
      </c>
      <c r="J2" s="44">
        <f>IF(AND($A2&lt;&gt;"",J$1&lt;&gt;"",1&lt;=IFERROR(VLOOKUP(J$1,الحصص!$A:$F,6,FALSE()),0)),"X","")</f>
        <v/>
      </c>
      <c r="K2" s="44">
        <f>IF(AND($A2&lt;&gt;"",K$1&lt;&gt;"",1&lt;=IFERROR(VLOOKUP(K$1,الحصص!$A:$F,6,FALSE()),0)),"X","")</f>
        <v/>
      </c>
      <c r="L2" s="44">
        <f>IF(AND($A2&lt;&gt;"",L$1&lt;&gt;"",1&lt;=IFERROR(VLOOKUP(L$1,الحصص!$A:$F,6,FALSE()),0)),"X","")</f>
        <v/>
      </c>
      <c r="M2" s="44">
        <f>IF(AND($A2&lt;&gt;"",M$1&lt;&gt;"",1&lt;=IFERROR(VLOOKUP(M$1,الحصص!$A:$F,6,FALSE()),0)),"X","")</f>
        <v/>
      </c>
      <c r="N2" s="44">
        <f>IF(AND($A2&lt;&gt;"",N$1&lt;&gt;"",1&lt;=IFERROR(VLOOKUP(N$1,الحصص!$A:$F,6,FALSE()),0)),"X","")</f>
        <v/>
      </c>
      <c r="O2" s="44">
        <f>IF(AND($A2&lt;&gt;"",O$1&lt;&gt;"",1&lt;=IFERROR(VLOOKUP(O$1,الحصص!$A:$F,6,FALSE()),0)),"X","")</f>
        <v/>
      </c>
      <c r="P2" s="44">
        <f>IF(AND($A2&lt;&gt;"",P$1&lt;&gt;"",1&lt;=IFERROR(VLOOKUP(P$1,الحصص!$A:$F,6,FALSE()),0)),"X","")</f>
        <v/>
      </c>
      <c r="Q2" s="44">
        <f>IF(AND($A2&lt;&gt;"",Q$1&lt;&gt;"",1&lt;=IFERROR(VLOOKUP(Q$1,الحصص!$A:$F,6,FALSE()),0)),"X","")</f>
        <v/>
      </c>
      <c r="R2" s="44">
        <f>IF(AND($A2&lt;&gt;"",R$1&lt;&gt;"",1&lt;=IFERROR(VLOOKUP(R$1,الحصص!$A:$F,6,FALSE()),0)),"X","")</f>
        <v/>
      </c>
      <c r="S2" s="44">
        <f>IF(AND($A2&lt;&gt;"",S$1&lt;&gt;"",1&lt;=IFERROR(VLOOKUP(S$1,الحصص!$A:$F,6,FALSE()),0)),"X","")</f>
        <v/>
      </c>
      <c r="T2" s="44">
        <f>IF(AND($A2&lt;&gt;"",T$1&lt;&gt;"",1&lt;=IFERROR(VLOOKUP(T$1,الحصص!$A:$F,6,FALSE()),0)),"X","")</f>
        <v/>
      </c>
      <c r="U2" s="44">
        <f>IF(AND($A2&lt;&gt;"",U$1&lt;&gt;"",1&lt;=IFERROR(VLOOKUP(U$1,الحصص!$A:$F,6,FALSE()),0)),"X","")</f>
        <v/>
      </c>
    </row>
    <row r="3" ht="19.5" customHeight="1" s="22">
      <c r="A3" s="43">
        <f>IF(2&lt;=الإعدادات!$C$3,"القاعة "&amp;TEXT(2,"0"),"")</f>
        <v/>
      </c>
      <c r="B3" s="45">
        <f>IF(AND($A3&lt;&gt;"",B$1&lt;&gt;"",2&lt;=IFERROR(VLOOKUP(B$1,الحصص!$A:$F,6,FALSE()),0)),"X","")</f>
        <v/>
      </c>
      <c r="C3" s="45">
        <f>IF(AND($A3&lt;&gt;"",C$1&lt;&gt;"",2&lt;=IFERROR(VLOOKUP(C$1,الحصص!$A:$F,6,FALSE()),0)),"X","")</f>
        <v/>
      </c>
      <c r="D3" s="45">
        <f>IF(AND($A3&lt;&gt;"",D$1&lt;&gt;"",2&lt;=IFERROR(VLOOKUP(D$1,الحصص!$A:$F,6,FALSE()),0)),"X","")</f>
        <v/>
      </c>
      <c r="E3" s="45">
        <f>IF(AND($A3&lt;&gt;"",E$1&lt;&gt;"",2&lt;=IFERROR(VLOOKUP(E$1,الحصص!$A:$F,6,FALSE()),0)),"X","")</f>
        <v/>
      </c>
      <c r="F3" s="45">
        <f>IF(AND($A3&lt;&gt;"",F$1&lt;&gt;"",2&lt;=IFERROR(VLOOKUP(F$1,الحصص!$A:$F,6,FALSE()),0)),"X","")</f>
        <v/>
      </c>
      <c r="G3" s="45">
        <f>IF(AND($A3&lt;&gt;"",G$1&lt;&gt;"",2&lt;=IFERROR(VLOOKUP(G$1,الحصص!$A:$F,6,FALSE()),0)),"X","")</f>
        <v/>
      </c>
      <c r="H3" s="45">
        <f>IF(AND($A3&lt;&gt;"",H$1&lt;&gt;"",2&lt;=IFERROR(VLOOKUP(H$1,الحصص!$A:$F,6,FALSE()),0)),"X","")</f>
        <v/>
      </c>
      <c r="I3" s="45">
        <f>IF(AND($A3&lt;&gt;"",I$1&lt;&gt;"",2&lt;=IFERROR(VLOOKUP(I$1,الحصص!$A:$F,6,FALSE()),0)),"X","")</f>
        <v/>
      </c>
      <c r="J3" s="45">
        <f>IF(AND($A3&lt;&gt;"",J$1&lt;&gt;"",2&lt;=IFERROR(VLOOKUP(J$1,الحصص!$A:$F,6,FALSE()),0)),"X","")</f>
        <v/>
      </c>
      <c r="K3" s="45">
        <f>IF(AND($A3&lt;&gt;"",K$1&lt;&gt;"",2&lt;=IFERROR(VLOOKUP(K$1,الحصص!$A:$F,6,FALSE()),0)),"X","")</f>
        <v/>
      </c>
      <c r="L3" s="45">
        <f>IF(AND($A3&lt;&gt;"",L$1&lt;&gt;"",2&lt;=IFERROR(VLOOKUP(L$1,الحصص!$A:$F,6,FALSE()),0)),"X","")</f>
        <v/>
      </c>
      <c r="M3" s="45">
        <f>IF(AND($A3&lt;&gt;"",M$1&lt;&gt;"",2&lt;=IFERROR(VLOOKUP(M$1,الحصص!$A:$F,6,FALSE()),0)),"X","")</f>
        <v/>
      </c>
      <c r="N3" s="45">
        <f>IF(AND($A3&lt;&gt;"",N$1&lt;&gt;"",2&lt;=IFERROR(VLOOKUP(N$1,الحصص!$A:$F,6,FALSE()),0)),"X","")</f>
        <v/>
      </c>
      <c r="O3" s="45">
        <f>IF(AND($A3&lt;&gt;"",O$1&lt;&gt;"",2&lt;=IFERROR(VLOOKUP(O$1,الحصص!$A:$F,6,FALSE()),0)),"X","")</f>
        <v/>
      </c>
      <c r="P3" s="45">
        <f>IF(AND($A3&lt;&gt;"",P$1&lt;&gt;"",2&lt;=IFERROR(VLOOKUP(P$1,الحصص!$A:$F,6,FALSE()),0)),"X","")</f>
        <v/>
      </c>
      <c r="Q3" s="45">
        <f>IF(AND($A3&lt;&gt;"",Q$1&lt;&gt;"",2&lt;=IFERROR(VLOOKUP(Q$1,الحصص!$A:$F,6,FALSE()),0)),"X","")</f>
        <v/>
      </c>
      <c r="R3" s="45">
        <f>IF(AND($A3&lt;&gt;"",R$1&lt;&gt;"",2&lt;=IFERROR(VLOOKUP(R$1,الحصص!$A:$F,6,FALSE()),0)),"X","")</f>
        <v/>
      </c>
      <c r="S3" s="45">
        <f>IF(AND($A3&lt;&gt;"",S$1&lt;&gt;"",2&lt;=IFERROR(VLOOKUP(S$1,الحصص!$A:$F,6,FALSE()),0)),"X","")</f>
        <v/>
      </c>
      <c r="T3" s="45">
        <f>IF(AND($A3&lt;&gt;"",T$1&lt;&gt;"",2&lt;=IFERROR(VLOOKUP(T$1,الحصص!$A:$F,6,FALSE()),0)),"X","")</f>
        <v/>
      </c>
      <c r="U3" s="45">
        <f>IF(AND($A3&lt;&gt;"",U$1&lt;&gt;"",2&lt;=IFERROR(VLOOKUP(U$1,الحصص!$A:$F,6,FALSE()),0)),"X","")</f>
        <v/>
      </c>
    </row>
    <row r="4" ht="19.5" customHeight="1" s="22">
      <c r="A4" s="43">
        <f>IF(3&lt;=الإعدادات!$C$3,"القاعة "&amp;TEXT(3,"0"),"")</f>
        <v/>
      </c>
      <c r="B4" s="44">
        <f>IF(AND($A4&lt;&gt;"",B$1&lt;&gt;"",3&lt;=IFERROR(VLOOKUP(B$1,الحصص!$A:$F,6,FALSE()),0)),"X","")</f>
        <v/>
      </c>
      <c r="C4" s="44">
        <f>IF(AND($A4&lt;&gt;"",C$1&lt;&gt;"",3&lt;=IFERROR(VLOOKUP(C$1,الحصص!$A:$F,6,FALSE()),0)),"X","")</f>
        <v/>
      </c>
      <c r="D4" s="44">
        <f>IF(AND($A4&lt;&gt;"",D$1&lt;&gt;"",3&lt;=IFERROR(VLOOKUP(D$1,الحصص!$A:$F,6,FALSE()),0)),"X","")</f>
        <v/>
      </c>
      <c r="E4" s="44">
        <f>IF(AND($A4&lt;&gt;"",E$1&lt;&gt;"",3&lt;=IFERROR(VLOOKUP(E$1,الحصص!$A:$F,6,FALSE()),0)),"X","")</f>
        <v/>
      </c>
      <c r="F4" s="44">
        <f>IF(AND($A4&lt;&gt;"",F$1&lt;&gt;"",3&lt;=IFERROR(VLOOKUP(F$1,الحصص!$A:$F,6,FALSE()),0)),"X","")</f>
        <v/>
      </c>
      <c r="G4" s="44">
        <f>IF(AND($A4&lt;&gt;"",G$1&lt;&gt;"",3&lt;=IFERROR(VLOOKUP(G$1,الحصص!$A:$F,6,FALSE()),0)),"X","")</f>
        <v/>
      </c>
      <c r="H4" s="44">
        <f>IF(AND($A4&lt;&gt;"",H$1&lt;&gt;"",3&lt;=IFERROR(VLOOKUP(H$1,الحصص!$A:$F,6,FALSE()),0)),"X","")</f>
        <v/>
      </c>
      <c r="I4" s="44">
        <f>IF(AND($A4&lt;&gt;"",I$1&lt;&gt;"",3&lt;=IFERROR(VLOOKUP(I$1,الحصص!$A:$F,6,FALSE()),0)),"X","")</f>
        <v/>
      </c>
      <c r="J4" s="44">
        <f>IF(AND($A4&lt;&gt;"",J$1&lt;&gt;"",3&lt;=IFERROR(VLOOKUP(J$1,الحصص!$A:$F,6,FALSE()),0)),"X","")</f>
        <v/>
      </c>
      <c r="K4" s="44">
        <f>IF(AND($A4&lt;&gt;"",K$1&lt;&gt;"",3&lt;=IFERROR(VLOOKUP(K$1,الحصص!$A:$F,6,FALSE()),0)),"X","")</f>
        <v/>
      </c>
      <c r="L4" s="44">
        <f>IF(AND($A4&lt;&gt;"",L$1&lt;&gt;"",3&lt;=IFERROR(VLOOKUP(L$1,الحصص!$A:$F,6,FALSE()),0)),"X","")</f>
        <v/>
      </c>
      <c r="M4" s="44">
        <f>IF(AND($A4&lt;&gt;"",M$1&lt;&gt;"",3&lt;=IFERROR(VLOOKUP(M$1,الحصص!$A:$F,6,FALSE()),0)),"X","")</f>
        <v/>
      </c>
      <c r="N4" s="44">
        <f>IF(AND($A4&lt;&gt;"",N$1&lt;&gt;"",3&lt;=IFERROR(VLOOKUP(N$1,الحصص!$A:$F,6,FALSE()),0)),"X","")</f>
        <v/>
      </c>
      <c r="O4" s="44">
        <f>IF(AND($A4&lt;&gt;"",O$1&lt;&gt;"",3&lt;=IFERROR(VLOOKUP(O$1,الحصص!$A:$F,6,FALSE()),0)),"X","")</f>
        <v/>
      </c>
      <c r="P4" s="44">
        <f>IF(AND($A4&lt;&gt;"",P$1&lt;&gt;"",3&lt;=IFERROR(VLOOKUP(P$1,الحصص!$A:$F,6,FALSE()),0)),"X","")</f>
        <v/>
      </c>
      <c r="Q4" s="44">
        <f>IF(AND($A4&lt;&gt;"",Q$1&lt;&gt;"",3&lt;=IFERROR(VLOOKUP(Q$1,الحصص!$A:$F,6,FALSE()),0)),"X","")</f>
        <v/>
      </c>
      <c r="R4" s="44">
        <f>IF(AND($A4&lt;&gt;"",R$1&lt;&gt;"",3&lt;=IFERROR(VLOOKUP(R$1,الحصص!$A:$F,6,FALSE()),0)),"X","")</f>
        <v/>
      </c>
      <c r="S4" s="44">
        <f>IF(AND($A4&lt;&gt;"",S$1&lt;&gt;"",3&lt;=IFERROR(VLOOKUP(S$1,الحصص!$A:$F,6,FALSE()),0)),"X","")</f>
        <v/>
      </c>
      <c r="T4" s="44">
        <f>IF(AND($A4&lt;&gt;"",T$1&lt;&gt;"",3&lt;=IFERROR(VLOOKUP(T$1,الحصص!$A:$F,6,FALSE()),0)),"X","")</f>
        <v/>
      </c>
      <c r="U4" s="44">
        <f>IF(AND($A4&lt;&gt;"",U$1&lt;&gt;"",3&lt;=IFERROR(VLOOKUP(U$1,الحصص!$A:$F,6,FALSE()),0)),"X","")</f>
        <v/>
      </c>
    </row>
    <row r="5" ht="19.5" customHeight="1" s="22">
      <c r="A5" s="43">
        <f>IF(4&lt;=الإعدادات!$C$3,"القاعة "&amp;TEXT(4,"0"),"")</f>
        <v/>
      </c>
      <c r="B5" s="45">
        <f>IF(AND($A5&lt;&gt;"",B$1&lt;&gt;"",4&lt;=IFERROR(VLOOKUP(B$1,الحصص!$A:$F,6,FALSE()),0)),"X","")</f>
        <v/>
      </c>
      <c r="C5" s="45">
        <f>IF(AND($A5&lt;&gt;"",C$1&lt;&gt;"",4&lt;=IFERROR(VLOOKUP(C$1,الحصص!$A:$F,6,FALSE()),0)),"X","")</f>
        <v/>
      </c>
      <c r="D5" s="45">
        <f>IF(AND($A5&lt;&gt;"",D$1&lt;&gt;"",4&lt;=IFERROR(VLOOKUP(D$1,الحصص!$A:$F,6,FALSE()),0)),"X","")</f>
        <v/>
      </c>
      <c r="E5" s="45">
        <f>IF(AND($A5&lt;&gt;"",E$1&lt;&gt;"",4&lt;=IFERROR(VLOOKUP(E$1,الحصص!$A:$F,6,FALSE()),0)),"X","")</f>
        <v/>
      </c>
      <c r="F5" s="45">
        <f>IF(AND($A5&lt;&gt;"",F$1&lt;&gt;"",4&lt;=IFERROR(VLOOKUP(F$1,الحصص!$A:$F,6,FALSE()),0)),"X","")</f>
        <v/>
      </c>
      <c r="G5" s="45">
        <f>IF(AND($A5&lt;&gt;"",G$1&lt;&gt;"",4&lt;=IFERROR(VLOOKUP(G$1,الحصص!$A:$F,6,FALSE()),0)),"X","")</f>
        <v/>
      </c>
      <c r="H5" s="45">
        <f>IF(AND($A5&lt;&gt;"",H$1&lt;&gt;"",4&lt;=IFERROR(VLOOKUP(H$1,الحصص!$A:$F,6,FALSE()),0)),"X","")</f>
        <v/>
      </c>
      <c r="I5" s="45">
        <f>IF(AND($A5&lt;&gt;"",I$1&lt;&gt;"",4&lt;=IFERROR(VLOOKUP(I$1,الحصص!$A:$F,6,FALSE()),0)),"X","")</f>
        <v/>
      </c>
      <c r="J5" s="45">
        <f>IF(AND($A5&lt;&gt;"",J$1&lt;&gt;"",4&lt;=IFERROR(VLOOKUP(J$1,الحصص!$A:$F,6,FALSE()),0)),"X","")</f>
        <v/>
      </c>
      <c r="K5" s="45">
        <f>IF(AND($A5&lt;&gt;"",K$1&lt;&gt;"",4&lt;=IFERROR(VLOOKUP(K$1,الحصص!$A:$F,6,FALSE()),0)),"X","")</f>
        <v/>
      </c>
      <c r="L5" s="45">
        <f>IF(AND($A5&lt;&gt;"",L$1&lt;&gt;"",4&lt;=IFERROR(VLOOKUP(L$1,الحصص!$A:$F,6,FALSE()),0)),"X","")</f>
        <v/>
      </c>
      <c r="M5" s="45">
        <f>IF(AND($A5&lt;&gt;"",M$1&lt;&gt;"",4&lt;=IFERROR(VLOOKUP(M$1,الحصص!$A:$F,6,FALSE()),0)),"X","")</f>
        <v/>
      </c>
      <c r="N5" s="45">
        <f>IF(AND($A5&lt;&gt;"",N$1&lt;&gt;"",4&lt;=IFERROR(VLOOKUP(N$1,الحصص!$A:$F,6,FALSE()),0)),"X","")</f>
        <v/>
      </c>
      <c r="O5" s="45">
        <f>IF(AND($A5&lt;&gt;"",O$1&lt;&gt;"",4&lt;=IFERROR(VLOOKUP(O$1,الحصص!$A:$F,6,FALSE()),0)),"X","")</f>
        <v/>
      </c>
      <c r="P5" s="45">
        <f>IF(AND($A5&lt;&gt;"",P$1&lt;&gt;"",4&lt;=IFERROR(VLOOKUP(P$1,الحصص!$A:$F,6,FALSE()),0)),"X","")</f>
        <v/>
      </c>
      <c r="Q5" s="45">
        <f>IF(AND($A5&lt;&gt;"",Q$1&lt;&gt;"",4&lt;=IFERROR(VLOOKUP(Q$1,الحصص!$A:$F,6,FALSE()),0)),"X","")</f>
        <v/>
      </c>
      <c r="R5" s="45">
        <f>IF(AND($A5&lt;&gt;"",R$1&lt;&gt;"",4&lt;=IFERROR(VLOOKUP(R$1,الحصص!$A:$F,6,FALSE()),0)),"X","")</f>
        <v/>
      </c>
      <c r="S5" s="45">
        <f>IF(AND($A5&lt;&gt;"",S$1&lt;&gt;"",4&lt;=IFERROR(VLOOKUP(S$1,الحصص!$A:$F,6,FALSE()),0)),"X","")</f>
        <v/>
      </c>
      <c r="T5" s="45">
        <f>IF(AND($A5&lt;&gt;"",T$1&lt;&gt;"",4&lt;=IFERROR(VLOOKUP(T$1,الحصص!$A:$F,6,FALSE()),0)),"X","")</f>
        <v/>
      </c>
      <c r="U5" s="45">
        <f>IF(AND($A5&lt;&gt;"",U$1&lt;&gt;"",4&lt;=IFERROR(VLOOKUP(U$1,الحصص!$A:$F,6,FALSE()),0)),"X","")</f>
        <v/>
      </c>
    </row>
    <row r="6" ht="19.5" customHeight="1" s="22">
      <c r="A6" s="43">
        <f>IF(5&lt;=الإعدادات!$C$3,"القاعة "&amp;TEXT(5,"0"),"")</f>
        <v/>
      </c>
      <c r="B6" s="44">
        <f>IF(AND($A6&lt;&gt;"",B$1&lt;&gt;"",5&lt;=IFERROR(VLOOKUP(B$1,الحصص!$A:$F,6,FALSE()),0)),"X","")</f>
        <v/>
      </c>
      <c r="C6" s="44">
        <f>IF(AND($A6&lt;&gt;"",C$1&lt;&gt;"",5&lt;=IFERROR(VLOOKUP(C$1,الحصص!$A:$F,6,FALSE()),0)),"X","")</f>
        <v/>
      </c>
      <c r="D6" s="44">
        <f>IF(AND($A6&lt;&gt;"",D$1&lt;&gt;"",5&lt;=IFERROR(VLOOKUP(D$1,الحصص!$A:$F,6,FALSE()),0)),"X","")</f>
        <v/>
      </c>
      <c r="E6" s="44">
        <f>IF(AND($A6&lt;&gt;"",E$1&lt;&gt;"",5&lt;=IFERROR(VLOOKUP(E$1,الحصص!$A:$F,6,FALSE()),0)),"X","")</f>
        <v/>
      </c>
      <c r="F6" s="44">
        <f>IF(AND($A6&lt;&gt;"",F$1&lt;&gt;"",5&lt;=IFERROR(VLOOKUP(F$1,الحصص!$A:$F,6,FALSE()),0)),"X","")</f>
        <v/>
      </c>
      <c r="G6" s="44">
        <f>IF(AND($A6&lt;&gt;"",G$1&lt;&gt;"",5&lt;=IFERROR(VLOOKUP(G$1,الحصص!$A:$F,6,FALSE()),0)),"X","")</f>
        <v/>
      </c>
      <c r="H6" s="44">
        <f>IF(AND($A6&lt;&gt;"",H$1&lt;&gt;"",5&lt;=IFERROR(VLOOKUP(H$1,الحصص!$A:$F,6,FALSE()),0)),"X","")</f>
        <v/>
      </c>
      <c r="I6" s="44">
        <f>IF(AND($A6&lt;&gt;"",I$1&lt;&gt;"",5&lt;=IFERROR(VLOOKUP(I$1,الحصص!$A:$F,6,FALSE()),0)),"X","")</f>
        <v/>
      </c>
      <c r="J6" s="44">
        <f>IF(AND($A6&lt;&gt;"",J$1&lt;&gt;"",5&lt;=IFERROR(VLOOKUP(J$1,الحصص!$A:$F,6,FALSE()),0)),"X","")</f>
        <v/>
      </c>
      <c r="K6" s="44">
        <f>IF(AND($A6&lt;&gt;"",K$1&lt;&gt;"",5&lt;=IFERROR(VLOOKUP(K$1,الحصص!$A:$F,6,FALSE()),0)),"X","")</f>
        <v/>
      </c>
      <c r="L6" s="44">
        <f>IF(AND($A6&lt;&gt;"",L$1&lt;&gt;"",5&lt;=IFERROR(VLOOKUP(L$1,الحصص!$A:$F,6,FALSE()),0)),"X","")</f>
        <v/>
      </c>
      <c r="M6" s="44">
        <f>IF(AND($A6&lt;&gt;"",M$1&lt;&gt;"",5&lt;=IFERROR(VLOOKUP(M$1,الحصص!$A:$F,6,FALSE()),0)),"X","")</f>
        <v/>
      </c>
      <c r="N6" s="44">
        <f>IF(AND($A6&lt;&gt;"",N$1&lt;&gt;"",5&lt;=IFERROR(VLOOKUP(N$1,الحصص!$A:$F,6,FALSE()),0)),"X","")</f>
        <v/>
      </c>
      <c r="O6" s="44">
        <f>IF(AND($A6&lt;&gt;"",O$1&lt;&gt;"",5&lt;=IFERROR(VLOOKUP(O$1,الحصص!$A:$F,6,FALSE()),0)),"X","")</f>
        <v/>
      </c>
      <c r="P6" s="44">
        <f>IF(AND($A6&lt;&gt;"",P$1&lt;&gt;"",5&lt;=IFERROR(VLOOKUP(P$1,الحصص!$A:$F,6,FALSE()),0)),"X","")</f>
        <v/>
      </c>
      <c r="Q6" s="44">
        <f>IF(AND($A6&lt;&gt;"",Q$1&lt;&gt;"",5&lt;=IFERROR(VLOOKUP(Q$1,الحصص!$A:$F,6,FALSE()),0)),"X","")</f>
        <v/>
      </c>
      <c r="R6" s="44">
        <f>IF(AND($A6&lt;&gt;"",R$1&lt;&gt;"",5&lt;=IFERROR(VLOOKUP(R$1,الحصص!$A:$F,6,FALSE()),0)),"X","")</f>
        <v/>
      </c>
      <c r="S6" s="44">
        <f>IF(AND($A6&lt;&gt;"",S$1&lt;&gt;"",5&lt;=IFERROR(VLOOKUP(S$1,الحصص!$A:$F,6,FALSE()),0)),"X","")</f>
        <v/>
      </c>
      <c r="T6" s="44">
        <f>IF(AND($A6&lt;&gt;"",T$1&lt;&gt;"",5&lt;=IFERROR(VLOOKUP(T$1,الحصص!$A:$F,6,FALSE()),0)),"X","")</f>
        <v/>
      </c>
      <c r="U6" s="44">
        <f>IF(AND($A6&lt;&gt;"",U$1&lt;&gt;"",5&lt;=IFERROR(VLOOKUP(U$1,الحصص!$A:$F,6,FALSE()),0)),"X","")</f>
        <v/>
      </c>
    </row>
    <row r="7" ht="19.5" customHeight="1" s="22">
      <c r="A7" s="43">
        <f>IF(6&lt;=الإعدادات!$C$3,"القاعة "&amp;TEXT(6,"0"),"")</f>
        <v/>
      </c>
      <c r="B7" s="45">
        <f>IF(AND($A7&lt;&gt;"",B$1&lt;&gt;"",6&lt;=IFERROR(VLOOKUP(B$1,الحصص!$A:$F,6,FALSE()),0)),"X","")</f>
        <v/>
      </c>
      <c r="C7" s="45">
        <f>IF(AND($A7&lt;&gt;"",C$1&lt;&gt;"",6&lt;=IFERROR(VLOOKUP(C$1,الحصص!$A:$F,6,FALSE()),0)),"X","")</f>
        <v/>
      </c>
      <c r="D7" s="45">
        <f>IF(AND($A7&lt;&gt;"",D$1&lt;&gt;"",6&lt;=IFERROR(VLOOKUP(D$1,الحصص!$A:$F,6,FALSE()),0)),"X","")</f>
        <v/>
      </c>
      <c r="E7" s="45">
        <f>IF(AND($A7&lt;&gt;"",E$1&lt;&gt;"",6&lt;=IFERROR(VLOOKUP(E$1,الحصص!$A:$F,6,FALSE()),0)),"X","")</f>
        <v/>
      </c>
      <c r="F7" s="45">
        <f>IF(AND($A7&lt;&gt;"",F$1&lt;&gt;"",6&lt;=IFERROR(VLOOKUP(F$1,الحصص!$A:$F,6,FALSE()),0)),"X","")</f>
        <v/>
      </c>
      <c r="G7" s="45">
        <f>IF(AND($A7&lt;&gt;"",G$1&lt;&gt;"",6&lt;=IFERROR(VLOOKUP(G$1,الحصص!$A:$F,6,FALSE()),0)),"X","")</f>
        <v/>
      </c>
      <c r="H7" s="45">
        <f>IF(AND($A7&lt;&gt;"",H$1&lt;&gt;"",6&lt;=IFERROR(VLOOKUP(H$1,الحصص!$A:$F,6,FALSE()),0)),"X","")</f>
        <v/>
      </c>
      <c r="I7" s="45">
        <f>IF(AND($A7&lt;&gt;"",I$1&lt;&gt;"",6&lt;=IFERROR(VLOOKUP(I$1,الحصص!$A:$F,6,FALSE()),0)),"X","")</f>
        <v/>
      </c>
      <c r="J7" s="45">
        <f>IF(AND($A7&lt;&gt;"",J$1&lt;&gt;"",6&lt;=IFERROR(VLOOKUP(J$1,الحصص!$A:$F,6,FALSE()),0)),"X","")</f>
        <v/>
      </c>
      <c r="K7" s="45">
        <f>IF(AND($A7&lt;&gt;"",K$1&lt;&gt;"",6&lt;=IFERROR(VLOOKUP(K$1,الحصص!$A:$F,6,FALSE()),0)),"X","")</f>
        <v/>
      </c>
      <c r="L7" s="45">
        <f>IF(AND($A7&lt;&gt;"",L$1&lt;&gt;"",6&lt;=IFERROR(VLOOKUP(L$1,الحصص!$A:$F,6,FALSE()),0)),"X","")</f>
        <v/>
      </c>
      <c r="M7" s="45">
        <f>IF(AND($A7&lt;&gt;"",M$1&lt;&gt;"",6&lt;=IFERROR(VLOOKUP(M$1,الحصص!$A:$F,6,FALSE()),0)),"X","")</f>
        <v/>
      </c>
      <c r="N7" s="45">
        <f>IF(AND($A7&lt;&gt;"",N$1&lt;&gt;"",6&lt;=IFERROR(VLOOKUP(N$1,الحصص!$A:$F,6,FALSE()),0)),"X","")</f>
        <v/>
      </c>
      <c r="O7" s="45">
        <f>IF(AND($A7&lt;&gt;"",O$1&lt;&gt;"",6&lt;=IFERROR(VLOOKUP(O$1,الحصص!$A:$F,6,FALSE()),0)),"X","")</f>
        <v/>
      </c>
      <c r="P7" s="45">
        <f>IF(AND($A7&lt;&gt;"",P$1&lt;&gt;"",6&lt;=IFERROR(VLOOKUP(P$1,الحصص!$A:$F,6,FALSE()),0)),"X","")</f>
        <v/>
      </c>
      <c r="Q7" s="45">
        <f>IF(AND($A7&lt;&gt;"",Q$1&lt;&gt;"",6&lt;=IFERROR(VLOOKUP(Q$1,الحصص!$A:$F,6,FALSE()),0)),"X","")</f>
        <v/>
      </c>
      <c r="R7" s="45">
        <f>IF(AND($A7&lt;&gt;"",R$1&lt;&gt;"",6&lt;=IFERROR(VLOOKUP(R$1,الحصص!$A:$F,6,FALSE()),0)),"X","")</f>
        <v/>
      </c>
      <c r="S7" s="45">
        <f>IF(AND($A7&lt;&gt;"",S$1&lt;&gt;"",6&lt;=IFERROR(VLOOKUP(S$1,الحصص!$A:$F,6,FALSE()),0)),"X","")</f>
        <v/>
      </c>
      <c r="T7" s="45">
        <f>IF(AND($A7&lt;&gt;"",T$1&lt;&gt;"",6&lt;=IFERROR(VLOOKUP(T$1,الحصص!$A:$F,6,FALSE()),0)),"X","")</f>
        <v/>
      </c>
      <c r="U7" s="45">
        <f>IF(AND($A7&lt;&gt;"",U$1&lt;&gt;"",6&lt;=IFERROR(VLOOKUP(U$1,الحصص!$A:$F,6,FALSE()),0)),"X","")</f>
        <v/>
      </c>
    </row>
    <row r="8" ht="19.5" customHeight="1" s="22">
      <c r="A8" s="43">
        <f>IF(7&lt;=الإعدادات!$C$3,"القاعة "&amp;TEXT(7,"0"),"")</f>
        <v/>
      </c>
      <c r="B8" s="44">
        <f>IF(AND($A8&lt;&gt;"",B$1&lt;&gt;"",7&lt;=IFERROR(VLOOKUP(B$1,الحصص!$A:$F,6,FALSE()),0)),"X","")</f>
        <v/>
      </c>
      <c r="C8" s="44">
        <f>IF(AND($A8&lt;&gt;"",C$1&lt;&gt;"",7&lt;=IFERROR(VLOOKUP(C$1,الحصص!$A:$F,6,FALSE()),0)),"X","")</f>
        <v/>
      </c>
      <c r="D8" s="44">
        <f>IF(AND($A8&lt;&gt;"",D$1&lt;&gt;"",7&lt;=IFERROR(VLOOKUP(D$1,الحصص!$A:$F,6,FALSE()),0)),"X","")</f>
        <v/>
      </c>
      <c r="E8" s="44">
        <f>IF(AND($A8&lt;&gt;"",E$1&lt;&gt;"",7&lt;=IFERROR(VLOOKUP(E$1,الحصص!$A:$F,6,FALSE()),0)),"X","")</f>
        <v/>
      </c>
      <c r="F8" s="44">
        <f>IF(AND($A8&lt;&gt;"",F$1&lt;&gt;"",7&lt;=IFERROR(VLOOKUP(F$1,الحصص!$A:$F,6,FALSE()),0)),"X","")</f>
        <v/>
      </c>
      <c r="G8" s="44">
        <f>IF(AND($A8&lt;&gt;"",G$1&lt;&gt;"",7&lt;=IFERROR(VLOOKUP(G$1,الحصص!$A:$F,6,FALSE()),0)),"X","")</f>
        <v/>
      </c>
      <c r="H8" s="44">
        <f>IF(AND($A8&lt;&gt;"",H$1&lt;&gt;"",7&lt;=IFERROR(VLOOKUP(H$1,الحصص!$A:$F,6,FALSE()),0)),"X","")</f>
        <v/>
      </c>
      <c r="I8" s="44">
        <f>IF(AND($A8&lt;&gt;"",I$1&lt;&gt;"",7&lt;=IFERROR(VLOOKUP(I$1,الحصص!$A:$F,6,FALSE()),0)),"X","")</f>
        <v/>
      </c>
      <c r="J8" s="44">
        <f>IF(AND($A8&lt;&gt;"",J$1&lt;&gt;"",7&lt;=IFERROR(VLOOKUP(J$1,الحصص!$A:$F,6,FALSE()),0)),"X","")</f>
        <v/>
      </c>
      <c r="K8" s="44">
        <f>IF(AND($A8&lt;&gt;"",K$1&lt;&gt;"",7&lt;=IFERROR(VLOOKUP(K$1,الحصص!$A:$F,6,FALSE()),0)),"X","")</f>
        <v/>
      </c>
      <c r="L8" s="44">
        <f>IF(AND($A8&lt;&gt;"",L$1&lt;&gt;"",7&lt;=IFERROR(VLOOKUP(L$1,الحصص!$A:$F,6,FALSE()),0)),"X","")</f>
        <v/>
      </c>
      <c r="M8" s="44">
        <f>IF(AND($A8&lt;&gt;"",M$1&lt;&gt;"",7&lt;=IFERROR(VLOOKUP(M$1,الحصص!$A:$F,6,FALSE()),0)),"X","")</f>
        <v/>
      </c>
      <c r="N8" s="44">
        <f>IF(AND($A8&lt;&gt;"",N$1&lt;&gt;"",7&lt;=IFERROR(VLOOKUP(N$1,الحصص!$A:$F,6,FALSE()),0)),"X","")</f>
        <v/>
      </c>
      <c r="O8" s="44">
        <f>IF(AND($A8&lt;&gt;"",O$1&lt;&gt;"",7&lt;=IFERROR(VLOOKUP(O$1,الحصص!$A:$F,6,FALSE()),0)),"X","")</f>
        <v/>
      </c>
      <c r="P8" s="44">
        <f>IF(AND($A8&lt;&gt;"",P$1&lt;&gt;"",7&lt;=IFERROR(VLOOKUP(P$1,الحصص!$A:$F,6,FALSE()),0)),"X","")</f>
        <v/>
      </c>
      <c r="Q8" s="44">
        <f>IF(AND($A8&lt;&gt;"",Q$1&lt;&gt;"",7&lt;=IFERROR(VLOOKUP(Q$1,الحصص!$A:$F,6,FALSE()),0)),"X","")</f>
        <v/>
      </c>
      <c r="R8" s="44">
        <f>IF(AND($A8&lt;&gt;"",R$1&lt;&gt;"",7&lt;=IFERROR(VLOOKUP(R$1,الحصص!$A:$F,6,FALSE()),0)),"X","")</f>
        <v/>
      </c>
      <c r="S8" s="44">
        <f>IF(AND($A8&lt;&gt;"",S$1&lt;&gt;"",7&lt;=IFERROR(VLOOKUP(S$1,الحصص!$A:$F,6,FALSE()),0)),"X","")</f>
        <v/>
      </c>
      <c r="T8" s="44">
        <f>IF(AND($A8&lt;&gt;"",T$1&lt;&gt;"",7&lt;=IFERROR(VLOOKUP(T$1,الحصص!$A:$F,6,FALSE()),0)),"X","")</f>
        <v/>
      </c>
      <c r="U8" s="44">
        <f>IF(AND($A8&lt;&gt;"",U$1&lt;&gt;"",7&lt;=IFERROR(VLOOKUP(U$1,الحصص!$A:$F,6,FALSE()),0)),"X","")</f>
        <v/>
      </c>
    </row>
    <row r="9" ht="19.5" customHeight="1" s="22">
      <c r="A9" s="43">
        <f>IF(8&lt;=الإعدادات!$C$3,"القاعة "&amp;TEXT(8,"0"),"")</f>
        <v/>
      </c>
      <c r="B9" s="45">
        <f>IF(AND($A9&lt;&gt;"",B$1&lt;&gt;"",8&lt;=IFERROR(VLOOKUP(B$1,الحصص!$A:$F,6,FALSE()),0)),"X","")</f>
        <v/>
      </c>
      <c r="C9" s="45">
        <f>IF(AND($A9&lt;&gt;"",C$1&lt;&gt;"",8&lt;=IFERROR(VLOOKUP(C$1,الحصص!$A:$F,6,FALSE()),0)),"X","")</f>
        <v/>
      </c>
      <c r="D9" s="45">
        <f>IF(AND($A9&lt;&gt;"",D$1&lt;&gt;"",8&lt;=IFERROR(VLOOKUP(D$1,الحصص!$A:$F,6,FALSE()),0)),"X","")</f>
        <v/>
      </c>
      <c r="E9" s="45">
        <f>IF(AND($A9&lt;&gt;"",E$1&lt;&gt;"",8&lt;=IFERROR(VLOOKUP(E$1,الحصص!$A:$F,6,FALSE()),0)),"X","")</f>
        <v/>
      </c>
      <c r="F9" s="45">
        <f>IF(AND($A9&lt;&gt;"",F$1&lt;&gt;"",8&lt;=IFERROR(VLOOKUP(F$1,الحصص!$A:$F,6,FALSE()),0)),"X","")</f>
        <v/>
      </c>
      <c r="G9" s="45">
        <f>IF(AND($A9&lt;&gt;"",G$1&lt;&gt;"",8&lt;=IFERROR(VLOOKUP(G$1,الحصص!$A:$F,6,FALSE()),0)),"X","")</f>
        <v/>
      </c>
      <c r="H9" s="45">
        <f>IF(AND($A9&lt;&gt;"",H$1&lt;&gt;"",8&lt;=IFERROR(VLOOKUP(H$1,الحصص!$A:$F,6,FALSE()),0)),"X","")</f>
        <v/>
      </c>
      <c r="I9" s="45">
        <f>IF(AND($A9&lt;&gt;"",I$1&lt;&gt;"",8&lt;=IFERROR(VLOOKUP(I$1,الحصص!$A:$F,6,FALSE()),0)),"X","")</f>
        <v/>
      </c>
      <c r="J9" s="45">
        <f>IF(AND($A9&lt;&gt;"",J$1&lt;&gt;"",8&lt;=IFERROR(VLOOKUP(J$1,الحصص!$A:$F,6,FALSE()),0)),"X","")</f>
        <v/>
      </c>
      <c r="K9" s="45">
        <f>IF(AND($A9&lt;&gt;"",K$1&lt;&gt;"",8&lt;=IFERROR(VLOOKUP(K$1,الحصص!$A:$F,6,FALSE()),0)),"X","")</f>
        <v/>
      </c>
      <c r="L9" s="45">
        <f>IF(AND($A9&lt;&gt;"",L$1&lt;&gt;"",8&lt;=IFERROR(VLOOKUP(L$1,الحصص!$A:$F,6,FALSE()),0)),"X","")</f>
        <v/>
      </c>
      <c r="M9" s="45">
        <f>IF(AND($A9&lt;&gt;"",M$1&lt;&gt;"",8&lt;=IFERROR(VLOOKUP(M$1,الحصص!$A:$F,6,FALSE()),0)),"X","")</f>
        <v/>
      </c>
      <c r="N9" s="45">
        <f>IF(AND($A9&lt;&gt;"",N$1&lt;&gt;"",8&lt;=IFERROR(VLOOKUP(N$1,الحصص!$A:$F,6,FALSE()),0)),"X","")</f>
        <v/>
      </c>
      <c r="O9" s="45">
        <f>IF(AND($A9&lt;&gt;"",O$1&lt;&gt;"",8&lt;=IFERROR(VLOOKUP(O$1,الحصص!$A:$F,6,FALSE()),0)),"X","")</f>
        <v/>
      </c>
      <c r="P9" s="45">
        <f>IF(AND($A9&lt;&gt;"",P$1&lt;&gt;"",8&lt;=IFERROR(VLOOKUP(P$1,الحصص!$A:$F,6,FALSE()),0)),"X","")</f>
        <v/>
      </c>
      <c r="Q9" s="45">
        <f>IF(AND($A9&lt;&gt;"",Q$1&lt;&gt;"",8&lt;=IFERROR(VLOOKUP(Q$1,الحصص!$A:$F,6,FALSE()),0)),"X","")</f>
        <v/>
      </c>
      <c r="R9" s="45">
        <f>IF(AND($A9&lt;&gt;"",R$1&lt;&gt;"",8&lt;=IFERROR(VLOOKUP(R$1,الحصص!$A:$F,6,FALSE()),0)),"X","")</f>
        <v/>
      </c>
      <c r="S9" s="45">
        <f>IF(AND($A9&lt;&gt;"",S$1&lt;&gt;"",8&lt;=IFERROR(VLOOKUP(S$1,الحصص!$A:$F,6,FALSE()),0)),"X","")</f>
        <v/>
      </c>
      <c r="T9" s="45">
        <f>IF(AND($A9&lt;&gt;"",T$1&lt;&gt;"",8&lt;=IFERROR(VLOOKUP(T$1,الحصص!$A:$F,6,FALSE()),0)),"X","")</f>
        <v/>
      </c>
      <c r="U9" s="45">
        <f>IF(AND($A9&lt;&gt;"",U$1&lt;&gt;"",8&lt;=IFERROR(VLOOKUP(U$1,الحصص!$A:$F,6,FALSE()),0)),"X","")</f>
        <v/>
      </c>
    </row>
    <row r="10" ht="19.5" customHeight="1" s="22">
      <c r="A10" s="43">
        <f>IF(9&lt;=الإعدادات!$C$3,"القاعة "&amp;TEXT(9,"0"),"")</f>
        <v/>
      </c>
      <c r="B10" s="44">
        <f>IF(AND($A10&lt;&gt;"",B$1&lt;&gt;"",9&lt;=IFERROR(VLOOKUP(B$1,الحصص!$A:$F,6,FALSE()),0)),"X","")</f>
        <v/>
      </c>
      <c r="C10" s="44">
        <f>IF(AND($A10&lt;&gt;"",C$1&lt;&gt;"",9&lt;=IFERROR(VLOOKUP(C$1,الحصص!$A:$F,6,FALSE()),0)),"X","")</f>
        <v/>
      </c>
      <c r="D10" s="44">
        <f>IF(AND($A10&lt;&gt;"",D$1&lt;&gt;"",9&lt;=IFERROR(VLOOKUP(D$1,الحصص!$A:$F,6,FALSE()),0)),"X","")</f>
        <v/>
      </c>
      <c r="E10" s="44">
        <f>IF(AND($A10&lt;&gt;"",E$1&lt;&gt;"",9&lt;=IFERROR(VLOOKUP(E$1,الحصص!$A:$F,6,FALSE()),0)),"X","")</f>
        <v/>
      </c>
      <c r="F10" s="44">
        <f>IF(AND($A10&lt;&gt;"",F$1&lt;&gt;"",9&lt;=IFERROR(VLOOKUP(F$1,الحصص!$A:$F,6,FALSE()),0)),"X","")</f>
        <v/>
      </c>
      <c r="G10" s="44">
        <f>IF(AND($A10&lt;&gt;"",G$1&lt;&gt;"",9&lt;=IFERROR(VLOOKUP(G$1,الحصص!$A:$F,6,FALSE()),0)),"X","")</f>
        <v/>
      </c>
      <c r="H10" s="44">
        <f>IF(AND($A10&lt;&gt;"",H$1&lt;&gt;"",9&lt;=IFERROR(VLOOKUP(H$1,الحصص!$A:$F,6,FALSE()),0)),"X","")</f>
        <v/>
      </c>
      <c r="I10" s="44">
        <f>IF(AND($A10&lt;&gt;"",I$1&lt;&gt;"",9&lt;=IFERROR(VLOOKUP(I$1,الحصص!$A:$F,6,FALSE()),0)),"X","")</f>
        <v/>
      </c>
      <c r="J10" s="44">
        <f>IF(AND($A10&lt;&gt;"",J$1&lt;&gt;"",9&lt;=IFERROR(VLOOKUP(J$1,الحصص!$A:$F,6,FALSE()),0)),"X","")</f>
        <v/>
      </c>
      <c r="K10" s="44">
        <f>IF(AND($A10&lt;&gt;"",K$1&lt;&gt;"",9&lt;=IFERROR(VLOOKUP(K$1,الحصص!$A:$F,6,FALSE()),0)),"X","")</f>
        <v/>
      </c>
      <c r="L10" s="44">
        <f>IF(AND($A10&lt;&gt;"",L$1&lt;&gt;"",9&lt;=IFERROR(VLOOKUP(L$1,الحصص!$A:$F,6,FALSE()),0)),"X","")</f>
        <v/>
      </c>
      <c r="M10" s="44">
        <f>IF(AND($A10&lt;&gt;"",M$1&lt;&gt;"",9&lt;=IFERROR(VLOOKUP(M$1,الحصص!$A:$F,6,FALSE()),0)),"X","")</f>
        <v/>
      </c>
      <c r="N10" s="44">
        <f>IF(AND($A10&lt;&gt;"",N$1&lt;&gt;"",9&lt;=IFERROR(VLOOKUP(N$1,الحصص!$A:$F,6,FALSE()),0)),"X","")</f>
        <v/>
      </c>
      <c r="O10" s="44">
        <f>IF(AND($A10&lt;&gt;"",O$1&lt;&gt;"",9&lt;=IFERROR(VLOOKUP(O$1,الحصص!$A:$F,6,FALSE()),0)),"X","")</f>
        <v/>
      </c>
      <c r="P10" s="44">
        <f>IF(AND($A10&lt;&gt;"",P$1&lt;&gt;"",9&lt;=IFERROR(VLOOKUP(P$1,الحصص!$A:$F,6,FALSE()),0)),"X","")</f>
        <v/>
      </c>
      <c r="Q10" s="44">
        <f>IF(AND($A10&lt;&gt;"",Q$1&lt;&gt;"",9&lt;=IFERROR(VLOOKUP(Q$1,الحصص!$A:$F,6,FALSE()),0)),"X","")</f>
        <v/>
      </c>
      <c r="R10" s="44">
        <f>IF(AND($A10&lt;&gt;"",R$1&lt;&gt;"",9&lt;=IFERROR(VLOOKUP(R$1,الحصص!$A:$F,6,FALSE()),0)),"X","")</f>
        <v/>
      </c>
      <c r="S10" s="44">
        <f>IF(AND($A10&lt;&gt;"",S$1&lt;&gt;"",9&lt;=IFERROR(VLOOKUP(S$1,الحصص!$A:$F,6,FALSE()),0)),"X","")</f>
        <v/>
      </c>
      <c r="T10" s="44">
        <f>IF(AND($A10&lt;&gt;"",T$1&lt;&gt;"",9&lt;=IFERROR(VLOOKUP(T$1,الحصص!$A:$F,6,FALSE()),0)),"X","")</f>
        <v/>
      </c>
      <c r="U10" s="44">
        <f>IF(AND($A10&lt;&gt;"",U$1&lt;&gt;"",9&lt;=IFERROR(VLOOKUP(U$1,الحصص!$A:$F,6,FALSE()),0)),"X","")</f>
        <v/>
      </c>
    </row>
    <row r="11" ht="19.5" customHeight="1" s="22">
      <c r="A11" s="43">
        <f>IF(10&lt;=الإعدادات!$C$3,"القاعة "&amp;TEXT(10,"0"),"")</f>
        <v/>
      </c>
      <c r="B11" s="45">
        <f>IF(AND($A11&lt;&gt;"",B$1&lt;&gt;"",10&lt;=IFERROR(VLOOKUP(B$1,الحصص!$A:$F,6,FALSE()),0)),"X","")</f>
        <v/>
      </c>
      <c r="C11" s="45">
        <f>IF(AND($A11&lt;&gt;"",C$1&lt;&gt;"",10&lt;=IFERROR(VLOOKUP(C$1,الحصص!$A:$F,6,FALSE()),0)),"X","")</f>
        <v/>
      </c>
      <c r="D11" s="45">
        <f>IF(AND($A11&lt;&gt;"",D$1&lt;&gt;"",10&lt;=IFERROR(VLOOKUP(D$1,الحصص!$A:$F,6,FALSE()),0)),"X","")</f>
        <v/>
      </c>
      <c r="E11" s="45">
        <f>IF(AND($A11&lt;&gt;"",E$1&lt;&gt;"",10&lt;=IFERROR(VLOOKUP(E$1,الحصص!$A:$F,6,FALSE()),0)),"X","")</f>
        <v/>
      </c>
      <c r="F11" s="45">
        <f>IF(AND($A11&lt;&gt;"",F$1&lt;&gt;"",10&lt;=IFERROR(VLOOKUP(F$1,الحصص!$A:$F,6,FALSE()),0)),"X","")</f>
        <v/>
      </c>
      <c r="G11" s="45">
        <f>IF(AND($A11&lt;&gt;"",G$1&lt;&gt;"",10&lt;=IFERROR(VLOOKUP(G$1,الحصص!$A:$F,6,FALSE()),0)),"X","")</f>
        <v/>
      </c>
      <c r="H11" s="45">
        <f>IF(AND($A11&lt;&gt;"",H$1&lt;&gt;"",10&lt;=IFERROR(VLOOKUP(H$1,الحصص!$A:$F,6,FALSE()),0)),"X","")</f>
        <v/>
      </c>
      <c r="I11" s="45">
        <f>IF(AND($A11&lt;&gt;"",I$1&lt;&gt;"",10&lt;=IFERROR(VLOOKUP(I$1,الحصص!$A:$F,6,FALSE()),0)),"X","")</f>
        <v/>
      </c>
      <c r="J11" s="45">
        <f>IF(AND($A11&lt;&gt;"",J$1&lt;&gt;"",10&lt;=IFERROR(VLOOKUP(J$1,الحصص!$A:$F,6,FALSE()),0)),"X","")</f>
        <v/>
      </c>
      <c r="K11" s="45">
        <f>IF(AND($A11&lt;&gt;"",K$1&lt;&gt;"",10&lt;=IFERROR(VLOOKUP(K$1,الحصص!$A:$F,6,FALSE()),0)),"X","")</f>
        <v/>
      </c>
      <c r="L11" s="45">
        <f>IF(AND($A11&lt;&gt;"",L$1&lt;&gt;"",10&lt;=IFERROR(VLOOKUP(L$1,الحصص!$A:$F,6,FALSE()),0)),"X","")</f>
        <v/>
      </c>
      <c r="M11" s="45">
        <f>IF(AND($A11&lt;&gt;"",M$1&lt;&gt;"",10&lt;=IFERROR(VLOOKUP(M$1,الحصص!$A:$F,6,FALSE()),0)),"X","")</f>
        <v/>
      </c>
      <c r="N11" s="45">
        <f>IF(AND($A11&lt;&gt;"",N$1&lt;&gt;"",10&lt;=IFERROR(VLOOKUP(N$1,الحصص!$A:$F,6,FALSE()),0)),"X","")</f>
        <v/>
      </c>
      <c r="O11" s="45">
        <f>IF(AND($A11&lt;&gt;"",O$1&lt;&gt;"",10&lt;=IFERROR(VLOOKUP(O$1,الحصص!$A:$F,6,FALSE()),0)),"X","")</f>
        <v/>
      </c>
      <c r="P11" s="45">
        <f>IF(AND($A11&lt;&gt;"",P$1&lt;&gt;"",10&lt;=IFERROR(VLOOKUP(P$1,الحصص!$A:$F,6,FALSE()),0)),"X","")</f>
        <v/>
      </c>
      <c r="Q11" s="45">
        <f>IF(AND($A11&lt;&gt;"",Q$1&lt;&gt;"",10&lt;=IFERROR(VLOOKUP(Q$1,الحصص!$A:$F,6,FALSE()),0)),"X","")</f>
        <v/>
      </c>
      <c r="R11" s="45">
        <f>IF(AND($A11&lt;&gt;"",R$1&lt;&gt;"",10&lt;=IFERROR(VLOOKUP(R$1,الحصص!$A:$F,6,FALSE()),0)),"X","")</f>
        <v/>
      </c>
      <c r="S11" s="45">
        <f>IF(AND($A11&lt;&gt;"",S$1&lt;&gt;"",10&lt;=IFERROR(VLOOKUP(S$1,الحصص!$A:$F,6,FALSE()),0)),"X","")</f>
        <v/>
      </c>
      <c r="T11" s="45">
        <f>IF(AND($A11&lt;&gt;"",T$1&lt;&gt;"",10&lt;=IFERROR(VLOOKUP(T$1,الحصص!$A:$F,6,FALSE()),0)),"X","")</f>
        <v/>
      </c>
      <c r="U11" s="45">
        <f>IF(AND($A11&lt;&gt;"",U$1&lt;&gt;"",10&lt;=IFERROR(VLOOKUP(U$1,الحصص!$A:$F,6,FALSE()),0)),"X","")</f>
        <v/>
      </c>
    </row>
    <row r="12" ht="19.5" customHeight="1" s="22">
      <c r="A12" s="43">
        <f>IF(11&lt;=الإعدادات!$C$3,"القاعة "&amp;TEXT(11,"0"),"")</f>
        <v/>
      </c>
      <c r="B12" s="44">
        <f>IF(AND($A12&lt;&gt;"",B$1&lt;&gt;"",11&lt;=IFERROR(VLOOKUP(B$1,الحصص!$A:$F,6,FALSE()),0)),"X","")</f>
        <v/>
      </c>
      <c r="C12" s="44">
        <f>IF(AND($A12&lt;&gt;"",C$1&lt;&gt;"",11&lt;=IFERROR(VLOOKUP(C$1,الحصص!$A:$F,6,FALSE()),0)),"X","")</f>
        <v/>
      </c>
      <c r="D12" s="44">
        <f>IF(AND($A12&lt;&gt;"",D$1&lt;&gt;"",11&lt;=IFERROR(VLOOKUP(D$1,الحصص!$A:$F,6,FALSE()),0)),"X","")</f>
        <v/>
      </c>
      <c r="E12" s="44">
        <f>IF(AND($A12&lt;&gt;"",E$1&lt;&gt;"",11&lt;=IFERROR(VLOOKUP(E$1,الحصص!$A:$F,6,FALSE()),0)),"X","")</f>
        <v/>
      </c>
      <c r="F12" s="44">
        <f>IF(AND($A12&lt;&gt;"",F$1&lt;&gt;"",11&lt;=IFERROR(VLOOKUP(F$1,الحصص!$A:$F,6,FALSE()),0)),"X","")</f>
        <v/>
      </c>
      <c r="G12" s="44">
        <f>IF(AND($A12&lt;&gt;"",G$1&lt;&gt;"",11&lt;=IFERROR(VLOOKUP(G$1,الحصص!$A:$F,6,FALSE()),0)),"X","")</f>
        <v/>
      </c>
      <c r="H12" s="44">
        <f>IF(AND($A12&lt;&gt;"",H$1&lt;&gt;"",11&lt;=IFERROR(VLOOKUP(H$1,الحصص!$A:$F,6,FALSE()),0)),"X","")</f>
        <v/>
      </c>
      <c r="I12" s="44">
        <f>IF(AND($A12&lt;&gt;"",I$1&lt;&gt;"",11&lt;=IFERROR(VLOOKUP(I$1,الحصص!$A:$F,6,FALSE()),0)),"X","")</f>
        <v/>
      </c>
      <c r="J12" s="44">
        <f>IF(AND($A12&lt;&gt;"",J$1&lt;&gt;"",11&lt;=IFERROR(VLOOKUP(J$1,الحصص!$A:$F,6,FALSE()),0)),"X","")</f>
        <v/>
      </c>
      <c r="K12" s="44">
        <f>IF(AND($A12&lt;&gt;"",K$1&lt;&gt;"",11&lt;=IFERROR(VLOOKUP(K$1,الحصص!$A:$F,6,FALSE()),0)),"X","")</f>
        <v/>
      </c>
      <c r="L12" s="44">
        <f>IF(AND($A12&lt;&gt;"",L$1&lt;&gt;"",11&lt;=IFERROR(VLOOKUP(L$1,الحصص!$A:$F,6,FALSE()),0)),"X","")</f>
        <v/>
      </c>
      <c r="M12" s="44">
        <f>IF(AND($A12&lt;&gt;"",M$1&lt;&gt;"",11&lt;=IFERROR(VLOOKUP(M$1,الحصص!$A:$F,6,FALSE()),0)),"X","")</f>
        <v/>
      </c>
      <c r="N12" s="44">
        <f>IF(AND($A12&lt;&gt;"",N$1&lt;&gt;"",11&lt;=IFERROR(VLOOKUP(N$1,الحصص!$A:$F,6,FALSE()),0)),"X","")</f>
        <v/>
      </c>
      <c r="O12" s="44">
        <f>IF(AND($A12&lt;&gt;"",O$1&lt;&gt;"",11&lt;=IFERROR(VLOOKUP(O$1,الحصص!$A:$F,6,FALSE()),0)),"X","")</f>
        <v/>
      </c>
      <c r="P12" s="44">
        <f>IF(AND($A12&lt;&gt;"",P$1&lt;&gt;"",11&lt;=IFERROR(VLOOKUP(P$1,الحصص!$A:$F,6,FALSE()),0)),"X","")</f>
        <v/>
      </c>
      <c r="Q12" s="44">
        <f>IF(AND($A12&lt;&gt;"",Q$1&lt;&gt;"",11&lt;=IFERROR(VLOOKUP(Q$1,الحصص!$A:$F,6,FALSE()),0)),"X","")</f>
        <v/>
      </c>
      <c r="R12" s="44">
        <f>IF(AND($A12&lt;&gt;"",R$1&lt;&gt;"",11&lt;=IFERROR(VLOOKUP(R$1,الحصص!$A:$F,6,FALSE()),0)),"X","")</f>
        <v/>
      </c>
      <c r="S12" s="44">
        <f>IF(AND($A12&lt;&gt;"",S$1&lt;&gt;"",11&lt;=IFERROR(VLOOKUP(S$1,الحصص!$A:$F,6,FALSE()),0)),"X","")</f>
        <v/>
      </c>
      <c r="T12" s="44">
        <f>IF(AND($A12&lt;&gt;"",T$1&lt;&gt;"",11&lt;=IFERROR(VLOOKUP(T$1,الحصص!$A:$F,6,FALSE()),0)),"X","")</f>
        <v/>
      </c>
      <c r="U12" s="44">
        <f>IF(AND($A12&lt;&gt;"",U$1&lt;&gt;"",11&lt;=IFERROR(VLOOKUP(U$1,الحصص!$A:$F,6,FALSE()),0)),"X","")</f>
        <v/>
      </c>
    </row>
    <row r="13" ht="19.5" customHeight="1" s="22">
      <c r="A13" s="43">
        <f>IF(12&lt;=الإعدادات!$C$3,"القاعة "&amp;TEXT(12,"0"),"")</f>
        <v/>
      </c>
      <c r="B13" s="45">
        <f>IF(AND($A13&lt;&gt;"",B$1&lt;&gt;"",12&lt;=IFERROR(VLOOKUP(B$1,الحصص!$A:$F,6,FALSE()),0)),"X","")</f>
        <v/>
      </c>
      <c r="C13" s="45">
        <f>IF(AND($A13&lt;&gt;"",C$1&lt;&gt;"",12&lt;=IFERROR(VLOOKUP(C$1,الحصص!$A:$F,6,FALSE()),0)),"X","")</f>
        <v/>
      </c>
      <c r="D13" s="45">
        <f>IF(AND($A13&lt;&gt;"",D$1&lt;&gt;"",12&lt;=IFERROR(VLOOKUP(D$1,الحصص!$A:$F,6,FALSE()),0)),"X","")</f>
        <v/>
      </c>
      <c r="E13" s="45">
        <f>IF(AND($A13&lt;&gt;"",E$1&lt;&gt;"",12&lt;=IFERROR(VLOOKUP(E$1,الحصص!$A:$F,6,FALSE()),0)),"X","")</f>
        <v/>
      </c>
      <c r="F13" s="45">
        <f>IF(AND($A13&lt;&gt;"",F$1&lt;&gt;"",12&lt;=IFERROR(VLOOKUP(F$1,الحصص!$A:$F,6,FALSE()),0)),"X","")</f>
        <v/>
      </c>
      <c r="G13" s="45">
        <f>IF(AND($A13&lt;&gt;"",G$1&lt;&gt;"",12&lt;=IFERROR(VLOOKUP(G$1,الحصص!$A:$F,6,FALSE()),0)),"X","")</f>
        <v/>
      </c>
      <c r="H13" s="45">
        <f>IF(AND($A13&lt;&gt;"",H$1&lt;&gt;"",12&lt;=IFERROR(VLOOKUP(H$1,الحصص!$A:$F,6,FALSE()),0)),"X","")</f>
        <v/>
      </c>
      <c r="I13" s="45">
        <f>IF(AND($A13&lt;&gt;"",I$1&lt;&gt;"",12&lt;=IFERROR(VLOOKUP(I$1,الحصص!$A:$F,6,FALSE()),0)),"X","")</f>
        <v/>
      </c>
      <c r="J13" s="45">
        <f>IF(AND($A13&lt;&gt;"",J$1&lt;&gt;"",12&lt;=IFERROR(VLOOKUP(J$1,الحصص!$A:$F,6,FALSE()),0)),"X","")</f>
        <v/>
      </c>
      <c r="K13" s="45">
        <f>IF(AND($A13&lt;&gt;"",K$1&lt;&gt;"",12&lt;=IFERROR(VLOOKUP(K$1,الحصص!$A:$F,6,FALSE()),0)),"X","")</f>
        <v/>
      </c>
      <c r="L13" s="45">
        <f>IF(AND($A13&lt;&gt;"",L$1&lt;&gt;"",12&lt;=IFERROR(VLOOKUP(L$1,الحصص!$A:$F,6,FALSE()),0)),"X","")</f>
        <v/>
      </c>
      <c r="M13" s="45">
        <f>IF(AND($A13&lt;&gt;"",M$1&lt;&gt;"",12&lt;=IFERROR(VLOOKUP(M$1,الحصص!$A:$F,6,FALSE()),0)),"X","")</f>
        <v/>
      </c>
      <c r="N13" s="45">
        <f>IF(AND($A13&lt;&gt;"",N$1&lt;&gt;"",12&lt;=IFERROR(VLOOKUP(N$1,الحصص!$A:$F,6,FALSE()),0)),"X","")</f>
        <v/>
      </c>
      <c r="O13" s="45">
        <f>IF(AND($A13&lt;&gt;"",O$1&lt;&gt;"",12&lt;=IFERROR(VLOOKUP(O$1,الحصص!$A:$F,6,FALSE()),0)),"X","")</f>
        <v/>
      </c>
      <c r="P13" s="45">
        <f>IF(AND($A13&lt;&gt;"",P$1&lt;&gt;"",12&lt;=IFERROR(VLOOKUP(P$1,الحصص!$A:$F,6,FALSE()),0)),"X","")</f>
        <v/>
      </c>
      <c r="Q13" s="45">
        <f>IF(AND($A13&lt;&gt;"",Q$1&lt;&gt;"",12&lt;=IFERROR(VLOOKUP(Q$1,الحصص!$A:$F,6,FALSE()),0)),"X","")</f>
        <v/>
      </c>
      <c r="R13" s="45">
        <f>IF(AND($A13&lt;&gt;"",R$1&lt;&gt;"",12&lt;=IFERROR(VLOOKUP(R$1,الحصص!$A:$F,6,FALSE()),0)),"X","")</f>
        <v/>
      </c>
      <c r="S13" s="45">
        <f>IF(AND($A13&lt;&gt;"",S$1&lt;&gt;"",12&lt;=IFERROR(VLOOKUP(S$1,الحصص!$A:$F,6,FALSE()),0)),"X","")</f>
        <v/>
      </c>
      <c r="T13" s="45">
        <f>IF(AND($A13&lt;&gt;"",T$1&lt;&gt;"",12&lt;=IFERROR(VLOOKUP(T$1,الحصص!$A:$F,6,FALSE()),0)),"X","")</f>
        <v/>
      </c>
      <c r="U13" s="45">
        <f>IF(AND($A13&lt;&gt;"",U$1&lt;&gt;"",12&lt;=IFERROR(VLOOKUP(U$1,الحصص!$A:$F,6,FALSE()),0)),"X","")</f>
        <v/>
      </c>
    </row>
    <row r="14" ht="19.5" customHeight="1" s="22">
      <c r="A14" s="43">
        <f>IF(13&lt;=الإعدادات!$C$3,"القاعة "&amp;TEXT(13,"0"),"")</f>
        <v/>
      </c>
      <c r="B14" s="44">
        <f>IF(AND($A14&lt;&gt;"",B$1&lt;&gt;"",13&lt;=IFERROR(VLOOKUP(B$1,الحصص!$A:$F,6,FALSE()),0)),"X","")</f>
        <v/>
      </c>
      <c r="C14" s="44">
        <f>IF(AND($A14&lt;&gt;"",C$1&lt;&gt;"",13&lt;=IFERROR(VLOOKUP(C$1,الحصص!$A:$F,6,FALSE()),0)),"X","")</f>
        <v/>
      </c>
      <c r="D14" s="44">
        <f>IF(AND($A14&lt;&gt;"",D$1&lt;&gt;"",13&lt;=IFERROR(VLOOKUP(D$1,الحصص!$A:$F,6,FALSE()),0)),"X","")</f>
        <v/>
      </c>
      <c r="E14" s="44">
        <f>IF(AND($A14&lt;&gt;"",E$1&lt;&gt;"",13&lt;=IFERROR(VLOOKUP(E$1,الحصص!$A:$F,6,FALSE()),0)),"X","")</f>
        <v/>
      </c>
      <c r="F14" s="44">
        <f>IF(AND($A14&lt;&gt;"",F$1&lt;&gt;"",13&lt;=IFERROR(VLOOKUP(F$1,الحصص!$A:$F,6,FALSE()),0)),"X","")</f>
        <v/>
      </c>
      <c r="G14" s="44">
        <f>IF(AND($A14&lt;&gt;"",G$1&lt;&gt;"",13&lt;=IFERROR(VLOOKUP(G$1,الحصص!$A:$F,6,FALSE()),0)),"X","")</f>
        <v/>
      </c>
      <c r="H14" s="44">
        <f>IF(AND($A14&lt;&gt;"",H$1&lt;&gt;"",13&lt;=IFERROR(VLOOKUP(H$1,الحصص!$A:$F,6,FALSE()),0)),"X","")</f>
        <v/>
      </c>
      <c r="I14" s="44">
        <f>IF(AND($A14&lt;&gt;"",I$1&lt;&gt;"",13&lt;=IFERROR(VLOOKUP(I$1,الحصص!$A:$F,6,FALSE()),0)),"X","")</f>
        <v/>
      </c>
      <c r="J14" s="44">
        <f>IF(AND($A14&lt;&gt;"",J$1&lt;&gt;"",13&lt;=IFERROR(VLOOKUP(J$1,الحصص!$A:$F,6,FALSE()),0)),"X","")</f>
        <v/>
      </c>
      <c r="K14" s="44">
        <f>IF(AND($A14&lt;&gt;"",K$1&lt;&gt;"",13&lt;=IFERROR(VLOOKUP(K$1,الحصص!$A:$F,6,FALSE()),0)),"X","")</f>
        <v/>
      </c>
      <c r="L14" s="44">
        <f>IF(AND($A14&lt;&gt;"",L$1&lt;&gt;"",13&lt;=IFERROR(VLOOKUP(L$1,الحصص!$A:$F,6,FALSE()),0)),"X","")</f>
        <v/>
      </c>
      <c r="M14" s="44">
        <f>IF(AND($A14&lt;&gt;"",M$1&lt;&gt;"",13&lt;=IFERROR(VLOOKUP(M$1,الحصص!$A:$F,6,FALSE()),0)),"X","")</f>
        <v/>
      </c>
      <c r="N14" s="44">
        <f>IF(AND($A14&lt;&gt;"",N$1&lt;&gt;"",13&lt;=IFERROR(VLOOKUP(N$1,الحصص!$A:$F,6,FALSE()),0)),"X","")</f>
        <v/>
      </c>
      <c r="O14" s="44">
        <f>IF(AND($A14&lt;&gt;"",O$1&lt;&gt;"",13&lt;=IFERROR(VLOOKUP(O$1,الحصص!$A:$F,6,FALSE()),0)),"X","")</f>
        <v/>
      </c>
      <c r="P14" s="44">
        <f>IF(AND($A14&lt;&gt;"",P$1&lt;&gt;"",13&lt;=IFERROR(VLOOKUP(P$1,الحصص!$A:$F,6,FALSE()),0)),"X","")</f>
        <v/>
      </c>
      <c r="Q14" s="44">
        <f>IF(AND($A14&lt;&gt;"",Q$1&lt;&gt;"",13&lt;=IFERROR(VLOOKUP(Q$1,الحصص!$A:$F,6,FALSE()),0)),"X","")</f>
        <v/>
      </c>
      <c r="R14" s="44">
        <f>IF(AND($A14&lt;&gt;"",R$1&lt;&gt;"",13&lt;=IFERROR(VLOOKUP(R$1,الحصص!$A:$F,6,FALSE()),0)),"X","")</f>
        <v/>
      </c>
      <c r="S14" s="44">
        <f>IF(AND($A14&lt;&gt;"",S$1&lt;&gt;"",13&lt;=IFERROR(VLOOKUP(S$1,الحصص!$A:$F,6,FALSE()),0)),"X","")</f>
        <v/>
      </c>
      <c r="T14" s="44">
        <f>IF(AND($A14&lt;&gt;"",T$1&lt;&gt;"",13&lt;=IFERROR(VLOOKUP(T$1,الحصص!$A:$F,6,FALSE()),0)),"X","")</f>
        <v/>
      </c>
      <c r="U14" s="44">
        <f>IF(AND($A14&lt;&gt;"",U$1&lt;&gt;"",13&lt;=IFERROR(VLOOKUP(U$1,الحصص!$A:$F,6,FALSE()),0)),"X","")</f>
        <v/>
      </c>
    </row>
    <row r="15" ht="19.5" customHeight="1" s="22">
      <c r="A15" s="43">
        <f>IF(14&lt;=الإعدادات!$C$3,"القاعة "&amp;TEXT(14,"0"),"")</f>
        <v/>
      </c>
      <c r="B15" s="45">
        <f>IF(AND($A15&lt;&gt;"",B$1&lt;&gt;"",14&lt;=IFERROR(VLOOKUP(B$1,الحصص!$A:$F,6,FALSE()),0)),"X","")</f>
        <v/>
      </c>
      <c r="C15" s="45">
        <f>IF(AND($A15&lt;&gt;"",C$1&lt;&gt;"",14&lt;=IFERROR(VLOOKUP(C$1,الحصص!$A:$F,6,FALSE()),0)),"X","")</f>
        <v/>
      </c>
      <c r="D15" s="45">
        <f>IF(AND($A15&lt;&gt;"",D$1&lt;&gt;"",14&lt;=IFERROR(VLOOKUP(D$1,الحصص!$A:$F,6,FALSE()),0)),"X","")</f>
        <v/>
      </c>
      <c r="E15" s="45">
        <f>IF(AND($A15&lt;&gt;"",E$1&lt;&gt;"",14&lt;=IFERROR(VLOOKUP(E$1,الحصص!$A:$F,6,FALSE()),0)),"X","")</f>
        <v/>
      </c>
      <c r="F15" s="45">
        <f>IF(AND($A15&lt;&gt;"",F$1&lt;&gt;"",14&lt;=IFERROR(VLOOKUP(F$1,الحصص!$A:$F,6,FALSE()),0)),"X","")</f>
        <v/>
      </c>
      <c r="G15" s="45">
        <f>IF(AND($A15&lt;&gt;"",G$1&lt;&gt;"",14&lt;=IFERROR(VLOOKUP(G$1,الحصص!$A:$F,6,FALSE()),0)),"X","")</f>
        <v/>
      </c>
      <c r="H15" s="45">
        <f>IF(AND($A15&lt;&gt;"",H$1&lt;&gt;"",14&lt;=IFERROR(VLOOKUP(H$1,الحصص!$A:$F,6,FALSE()),0)),"X","")</f>
        <v/>
      </c>
      <c r="I15" s="45">
        <f>IF(AND($A15&lt;&gt;"",I$1&lt;&gt;"",14&lt;=IFERROR(VLOOKUP(I$1,الحصص!$A:$F,6,FALSE()),0)),"X","")</f>
        <v/>
      </c>
      <c r="J15" s="45">
        <f>IF(AND($A15&lt;&gt;"",J$1&lt;&gt;"",14&lt;=IFERROR(VLOOKUP(J$1,الحصص!$A:$F,6,FALSE()),0)),"X","")</f>
        <v/>
      </c>
      <c r="K15" s="45">
        <f>IF(AND($A15&lt;&gt;"",K$1&lt;&gt;"",14&lt;=IFERROR(VLOOKUP(K$1,الحصص!$A:$F,6,FALSE()),0)),"X","")</f>
        <v/>
      </c>
      <c r="L15" s="45">
        <f>IF(AND($A15&lt;&gt;"",L$1&lt;&gt;"",14&lt;=IFERROR(VLOOKUP(L$1,الحصص!$A:$F,6,FALSE()),0)),"X","")</f>
        <v/>
      </c>
      <c r="M15" s="45">
        <f>IF(AND($A15&lt;&gt;"",M$1&lt;&gt;"",14&lt;=IFERROR(VLOOKUP(M$1,الحصص!$A:$F,6,FALSE()),0)),"X","")</f>
        <v/>
      </c>
      <c r="N15" s="45">
        <f>IF(AND($A15&lt;&gt;"",N$1&lt;&gt;"",14&lt;=IFERROR(VLOOKUP(N$1,الحصص!$A:$F,6,FALSE()),0)),"X","")</f>
        <v/>
      </c>
      <c r="O15" s="45">
        <f>IF(AND($A15&lt;&gt;"",O$1&lt;&gt;"",14&lt;=IFERROR(VLOOKUP(O$1,الحصص!$A:$F,6,FALSE()),0)),"X","")</f>
        <v/>
      </c>
      <c r="P15" s="45">
        <f>IF(AND($A15&lt;&gt;"",P$1&lt;&gt;"",14&lt;=IFERROR(VLOOKUP(P$1,الحصص!$A:$F,6,FALSE()),0)),"X","")</f>
        <v/>
      </c>
      <c r="Q15" s="45">
        <f>IF(AND($A15&lt;&gt;"",Q$1&lt;&gt;"",14&lt;=IFERROR(VLOOKUP(Q$1,الحصص!$A:$F,6,FALSE()),0)),"X","")</f>
        <v/>
      </c>
      <c r="R15" s="45">
        <f>IF(AND($A15&lt;&gt;"",R$1&lt;&gt;"",14&lt;=IFERROR(VLOOKUP(R$1,الحصص!$A:$F,6,FALSE()),0)),"X","")</f>
        <v/>
      </c>
      <c r="S15" s="45">
        <f>IF(AND($A15&lt;&gt;"",S$1&lt;&gt;"",14&lt;=IFERROR(VLOOKUP(S$1,الحصص!$A:$F,6,FALSE()),0)),"X","")</f>
        <v/>
      </c>
      <c r="T15" s="45">
        <f>IF(AND($A15&lt;&gt;"",T$1&lt;&gt;"",14&lt;=IFERROR(VLOOKUP(T$1,الحصص!$A:$F,6,FALSE()),0)),"X","")</f>
        <v/>
      </c>
      <c r="U15" s="45">
        <f>IF(AND($A15&lt;&gt;"",U$1&lt;&gt;"",14&lt;=IFERROR(VLOOKUP(U$1,الحصص!$A:$F,6,FALSE()),0)),"X","")</f>
        <v/>
      </c>
    </row>
    <row r="16" ht="19.5" customHeight="1" s="22">
      <c r="A16" s="43">
        <f>IF(15&lt;=الإعدادات!$C$3,"القاعة "&amp;TEXT(15,"0"),"")</f>
        <v/>
      </c>
      <c r="B16" s="44">
        <f>IF(AND($A16&lt;&gt;"",B$1&lt;&gt;"",15&lt;=IFERROR(VLOOKUP(B$1,الحصص!$A:$F,6,FALSE()),0)),"X","")</f>
        <v/>
      </c>
      <c r="C16" s="44">
        <f>IF(AND($A16&lt;&gt;"",C$1&lt;&gt;"",15&lt;=IFERROR(VLOOKUP(C$1,الحصص!$A:$F,6,FALSE()),0)),"X","")</f>
        <v/>
      </c>
      <c r="D16" s="44">
        <f>IF(AND($A16&lt;&gt;"",D$1&lt;&gt;"",15&lt;=IFERROR(VLOOKUP(D$1,الحصص!$A:$F,6,FALSE()),0)),"X","")</f>
        <v/>
      </c>
      <c r="E16" s="44">
        <f>IF(AND($A16&lt;&gt;"",E$1&lt;&gt;"",15&lt;=IFERROR(VLOOKUP(E$1,الحصص!$A:$F,6,FALSE()),0)),"X","")</f>
        <v/>
      </c>
      <c r="F16" s="44">
        <f>IF(AND($A16&lt;&gt;"",F$1&lt;&gt;"",15&lt;=IFERROR(VLOOKUP(F$1,الحصص!$A:$F,6,FALSE()),0)),"X","")</f>
        <v/>
      </c>
      <c r="G16" s="44">
        <f>IF(AND($A16&lt;&gt;"",G$1&lt;&gt;"",15&lt;=IFERROR(VLOOKUP(G$1,الحصص!$A:$F,6,FALSE()),0)),"X","")</f>
        <v/>
      </c>
      <c r="H16" s="44">
        <f>IF(AND($A16&lt;&gt;"",H$1&lt;&gt;"",15&lt;=IFERROR(VLOOKUP(H$1,الحصص!$A:$F,6,FALSE()),0)),"X","")</f>
        <v/>
      </c>
      <c r="I16" s="44">
        <f>IF(AND($A16&lt;&gt;"",I$1&lt;&gt;"",15&lt;=IFERROR(VLOOKUP(I$1,الحصص!$A:$F,6,FALSE()),0)),"X","")</f>
        <v/>
      </c>
      <c r="J16" s="44">
        <f>IF(AND($A16&lt;&gt;"",J$1&lt;&gt;"",15&lt;=IFERROR(VLOOKUP(J$1,الحصص!$A:$F,6,FALSE()),0)),"X","")</f>
        <v/>
      </c>
      <c r="K16" s="44">
        <f>IF(AND($A16&lt;&gt;"",K$1&lt;&gt;"",15&lt;=IFERROR(VLOOKUP(K$1,الحصص!$A:$F,6,FALSE()),0)),"X","")</f>
        <v/>
      </c>
      <c r="L16" s="44">
        <f>IF(AND($A16&lt;&gt;"",L$1&lt;&gt;"",15&lt;=IFERROR(VLOOKUP(L$1,الحصص!$A:$F,6,FALSE()),0)),"X","")</f>
        <v/>
      </c>
      <c r="M16" s="44">
        <f>IF(AND($A16&lt;&gt;"",M$1&lt;&gt;"",15&lt;=IFERROR(VLOOKUP(M$1,الحصص!$A:$F,6,FALSE()),0)),"X","")</f>
        <v/>
      </c>
      <c r="N16" s="44">
        <f>IF(AND($A16&lt;&gt;"",N$1&lt;&gt;"",15&lt;=IFERROR(VLOOKUP(N$1,الحصص!$A:$F,6,FALSE()),0)),"X","")</f>
        <v/>
      </c>
      <c r="O16" s="44">
        <f>IF(AND($A16&lt;&gt;"",O$1&lt;&gt;"",15&lt;=IFERROR(VLOOKUP(O$1,الحصص!$A:$F,6,FALSE()),0)),"X","")</f>
        <v/>
      </c>
      <c r="P16" s="44">
        <f>IF(AND($A16&lt;&gt;"",P$1&lt;&gt;"",15&lt;=IFERROR(VLOOKUP(P$1,الحصص!$A:$F,6,FALSE()),0)),"X","")</f>
        <v/>
      </c>
      <c r="Q16" s="44">
        <f>IF(AND($A16&lt;&gt;"",Q$1&lt;&gt;"",15&lt;=IFERROR(VLOOKUP(Q$1,الحصص!$A:$F,6,FALSE()),0)),"X","")</f>
        <v/>
      </c>
      <c r="R16" s="44">
        <f>IF(AND($A16&lt;&gt;"",R$1&lt;&gt;"",15&lt;=IFERROR(VLOOKUP(R$1,الحصص!$A:$F,6,FALSE()),0)),"X","")</f>
        <v/>
      </c>
      <c r="S16" s="44">
        <f>IF(AND($A16&lt;&gt;"",S$1&lt;&gt;"",15&lt;=IFERROR(VLOOKUP(S$1,الحصص!$A:$F,6,FALSE()),0)),"X","")</f>
        <v/>
      </c>
      <c r="T16" s="44">
        <f>IF(AND($A16&lt;&gt;"",T$1&lt;&gt;"",15&lt;=IFERROR(VLOOKUP(T$1,الحصص!$A:$F,6,FALSE()),0)),"X","")</f>
        <v/>
      </c>
      <c r="U16" s="44">
        <f>IF(AND($A16&lt;&gt;"",U$1&lt;&gt;"",15&lt;=IFERROR(VLOOKUP(U$1,الحصص!$A:$F,6,FALSE()),0)),"X","")</f>
        <v/>
      </c>
    </row>
    <row r="17" ht="19.5" customHeight="1" s="22">
      <c r="A17" s="43">
        <f>IF(16&lt;=الإعدادات!$C$3,"القاعة "&amp;TEXT(16,"0"),"")</f>
        <v/>
      </c>
      <c r="B17" s="45">
        <f>IF(AND($A17&lt;&gt;"",B$1&lt;&gt;"",16&lt;=IFERROR(VLOOKUP(B$1,الحصص!$A:$F,6,FALSE()),0)),"X","")</f>
        <v/>
      </c>
      <c r="C17" s="45">
        <f>IF(AND($A17&lt;&gt;"",C$1&lt;&gt;"",16&lt;=IFERROR(VLOOKUP(C$1,الحصص!$A:$F,6,FALSE()),0)),"X","")</f>
        <v/>
      </c>
      <c r="D17" s="45">
        <f>IF(AND($A17&lt;&gt;"",D$1&lt;&gt;"",16&lt;=IFERROR(VLOOKUP(D$1,الحصص!$A:$F,6,FALSE()),0)),"X","")</f>
        <v/>
      </c>
      <c r="E17" s="45">
        <f>IF(AND($A17&lt;&gt;"",E$1&lt;&gt;"",16&lt;=IFERROR(VLOOKUP(E$1,الحصص!$A:$F,6,FALSE()),0)),"X","")</f>
        <v/>
      </c>
      <c r="F17" s="45">
        <f>IF(AND($A17&lt;&gt;"",F$1&lt;&gt;"",16&lt;=IFERROR(VLOOKUP(F$1,الحصص!$A:$F,6,FALSE()),0)),"X","")</f>
        <v/>
      </c>
      <c r="G17" s="45">
        <f>IF(AND($A17&lt;&gt;"",G$1&lt;&gt;"",16&lt;=IFERROR(VLOOKUP(G$1,الحصص!$A:$F,6,FALSE()),0)),"X","")</f>
        <v/>
      </c>
      <c r="H17" s="45">
        <f>IF(AND($A17&lt;&gt;"",H$1&lt;&gt;"",16&lt;=IFERROR(VLOOKUP(H$1,الحصص!$A:$F,6,FALSE()),0)),"X","")</f>
        <v/>
      </c>
      <c r="I17" s="45">
        <f>IF(AND($A17&lt;&gt;"",I$1&lt;&gt;"",16&lt;=IFERROR(VLOOKUP(I$1,الحصص!$A:$F,6,FALSE()),0)),"X","")</f>
        <v/>
      </c>
      <c r="J17" s="45">
        <f>IF(AND($A17&lt;&gt;"",J$1&lt;&gt;"",16&lt;=IFERROR(VLOOKUP(J$1,الحصص!$A:$F,6,FALSE()),0)),"X","")</f>
        <v/>
      </c>
      <c r="K17" s="45">
        <f>IF(AND($A17&lt;&gt;"",K$1&lt;&gt;"",16&lt;=IFERROR(VLOOKUP(K$1,الحصص!$A:$F,6,FALSE()),0)),"X","")</f>
        <v/>
      </c>
      <c r="L17" s="45">
        <f>IF(AND($A17&lt;&gt;"",L$1&lt;&gt;"",16&lt;=IFERROR(VLOOKUP(L$1,الحصص!$A:$F,6,FALSE()),0)),"X","")</f>
        <v/>
      </c>
      <c r="M17" s="45">
        <f>IF(AND($A17&lt;&gt;"",M$1&lt;&gt;"",16&lt;=IFERROR(VLOOKUP(M$1,الحصص!$A:$F,6,FALSE()),0)),"X","")</f>
        <v/>
      </c>
      <c r="N17" s="45">
        <f>IF(AND($A17&lt;&gt;"",N$1&lt;&gt;"",16&lt;=IFERROR(VLOOKUP(N$1,الحصص!$A:$F,6,FALSE()),0)),"X","")</f>
        <v/>
      </c>
      <c r="O17" s="45">
        <f>IF(AND($A17&lt;&gt;"",O$1&lt;&gt;"",16&lt;=IFERROR(VLOOKUP(O$1,الحصص!$A:$F,6,FALSE()),0)),"X","")</f>
        <v/>
      </c>
      <c r="P17" s="45">
        <f>IF(AND($A17&lt;&gt;"",P$1&lt;&gt;"",16&lt;=IFERROR(VLOOKUP(P$1,الحصص!$A:$F,6,FALSE()),0)),"X","")</f>
        <v/>
      </c>
      <c r="Q17" s="45">
        <f>IF(AND($A17&lt;&gt;"",Q$1&lt;&gt;"",16&lt;=IFERROR(VLOOKUP(Q$1,الحصص!$A:$F,6,FALSE()),0)),"X","")</f>
        <v/>
      </c>
      <c r="R17" s="45">
        <f>IF(AND($A17&lt;&gt;"",R$1&lt;&gt;"",16&lt;=IFERROR(VLOOKUP(R$1,الحصص!$A:$F,6,FALSE()),0)),"X","")</f>
        <v/>
      </c>
      <c r="S17" s="45">
        <f>IF(AND($A17&lt;&gt;"",S$1&lt;&gt;"",16&lt;=IFERROR(VLOOKUP(S$1,الحصص!$A:$F,6,FALSE()),0)),"X","")</f>
        <v/>
      </c>
      <c r="T17" s="45">
        <f>IF(AND($A17&lt;&gt;"",T$1&lt;&gt;"",16&lt;=IFERROR(VLOOKUP(T$1,الحصص!$A:$F,6,FALSE()),0)),"X","")</f>
        <v/>
      </c>
      <c r="U17" s="45">
        <f>IF(AND($A17&lt;&gt;"",U$1&lt;&gt;"",16&lt;=IFERROR(VLOOKUP(U$1,الحصص!$A:$F,6,FALSE()),0)),"X","")</f>
        <v/>
      </c>
    </row>
    <row r="18" ht="19.5" customHeight="1" s="22">
      <c r="A18" s="43">
        <f>IF(17&lt;=الإعدادات!$C$3,"القاعة "&amp;TEXT(17,"0"),"")</f>
        <v/>
      </c>
      <c r="B18" s="44">
        <f>IF(AND($A18&lt;&gt;"",B$1&lt;&gt;"",17&lt;=IFERROR(VLOOKUP(B$1,الحصص!$A:$F,6,FALSE()),0)),"X","")</f>
        <v/>
      </c>
      <c r="C18" s="44">
        <f>IF(AND($A18&lt;&gt;"",C$1&lt;&gt;"",17&lt;=IFERROR(VLOOKUP(C$1,الحصص!$A:$F,6,FALSE()),0)),"X","")</f>
        <v/>
      </c>
      <c r="D18" s="44">
        <f>IF(AND($A18&lt;&gt;"",D$1&lt;&gt;"",17&lt;=IFERROR(VLOOKUP(D$1,الحصص!$A:$F,6,FALSE()),0)),"X","")</f>
        <v/>
      </c>
      <c r="E18" s="44">
        <f>IF(AND($A18&lt;&gt;"",E$1&lt;&gt;"",17&lt;=IFERROR(VLOOKUP(E$1,الحصص!$A:$F,6,FALSE()),0)),"X","")</f>
        <v/>
      </c>
      <c r="F18" s="44">
        <f>IF(AND($A18&lt;&gt;"",F$1&lt;&gt;"",17&lt;=IFERROR(VLOOKUP(F$1,الحصص!$A:$F,6,FALSE()),0)),"X","")</f>
        <v/>
      </c>
      <c r="G18" s="44">
        <f>IF(AND($A18&lt;&gt;"",G$1&lt;&gt;"",17&lt;=IFERROR(VLOOKUP(G$1,الحصص!$A:$F,6,FALSE()),0)),"X","")</f>
        <v/>
      </c>
      <c r="H18" s="44">
        <f>IF(AND($A18&lt;&gt;"",H$1&lt;&gt;"",17&lt;=IFERROR(VLOOKUP(H$1,الحصص!$A:$F,6,FALSE()),0)),"X","")</f>
        <v/>
      </c>
      <c r="I18" s="44">
        <f>IF(AND($A18&lt;&gt;"",I$1&lt;&gt;"",17&lt;=IFERROR(VLOOKUP(I$1,الحصص!$A:$F,6,FALSE()),0)),"X","")</f>
        <v/>
      </c>
      <c r="J18" s="44">
        <f>IF(AND($A18&lt;&gt;"",J$1&lt;&gt;"",17&lt;=IFERROR(VLOOKUP(J$1,الحصص!$A:$F,6,FALSE()),0)),"X","")</f>
        <v/>
      </c>
      <c r="K18" s="44">
        <f>IF(AND($A18&lt;&gt;"",K$1&lt;&gt;"",17&lt;=IFERROR(VLOOKUP(K$1,الحصص!$A:$F,6,FALSE()),0)),"X","")</f>
        <v/>
      </c>
      <c r="L18" s="44">
        <f>IF(AND($A18&lt;&gt;"",L$1&lt;&gt;"",17&lt;=IFERROR(VLOOKUP(L$1,الحصص!$A:$F,6,FALSE()),0)),"X","")</f>
        <v/>
      </c>
      <c r="M18" s="44">
        <f>IF(AND($A18&lt;&gt;"",M$1&lt;&gt;"",17&lt;=IFERROR(VLOOKUP(M$1,الحصص!$A:$F,6,FALSE()),0)),"X","")</f>
        <v/>
      </c>
      <c r="N18" s="44">
        <f>IF(AND($A18&lt;&gt;"",N$1&lt;&gt;"",17&lt;=IFERROR(VLOOKUP(N$1,الحصص!$A:$F,6,FALSE()),0)),"X","")</f>
        <v/>
      </c>
      <c r="O18" s="44">
        <f>IF(AND($A18&lt;&gt;"",O$1&lt;&gt;"",17&lt;=IFERROR(VLOOKUP(O$1,الحصص!$A:$F,6,FALSE()),0)),"X","")</f>
        <v/>
      </c>
      <c r="P18" s="44">
        <f>IF(AND($A18&lt;&gt;"",P$1&lt;&gt;"",17&lt;=IFERROR(VLOOKUP(P$1,الحصص!$A:$F,6,FALSE()),0)),"X","")</f>
        <v/>
      </c>
      <c r="Q18" s="44">
        <f>IF(AND($A18&lt;&gt;"",Q$1&lt;&gt;"",17&lt;=IFERROR(VLOOKUP(Q$1,الحصص!$A:$F,6,FALSE()),0)),"X","")</f>
        <v/>
      </c>
      <c r="R18" s="44">
        <f>IF(AND($A18&lt;&gt;"",R$1&lt;&gt;"",17&lt;=IFERROR(VLOOKUP(R$1,الحصص!$A:$F,6,FALSE()),0)),"X","")</f>
        <v/>
      </c>
      <c r="S18" s="44">
        <f>IF(AND($A18&lt;&gt;"",S$1&lt;&gt;"",17&lt;=IFERROR(VLOOKUP(S$1,الحصص!$A:$F,6,FALSE()),0)),"X","")</f>
        <v/>
      </c>
      <c r="T18" s="44">
        <f>IF(AND($A18&lt;&gt;"",T$1&lt;&gt;"",17&lt;=IFERROR(VLOOKUP(T$1,الحصص!$A:$F,6,FALSE()),0)),"X","")</f>
        <v/>
      </c>
      <c r="U18" s="44">
        <f>IF(AND($A18&lt;&gt;"",U$1&lt;&gt;"",17&lt;=IFERROR(VLOOKUP(U$1,الحصص!$A:$F,6,FALSE()),0)),"X","")</f>
        <v/>
      </c>
    </row>
    <row r="19" ht="19.5" customHeight="1" s="22">
      <c r="A19" s="43">
        <f>IF(18&lt;=الإعدادات!$C$3,"القاعة "&amp;TEXT(18,"0"),"")</f>
        <v/>
      </c>
      <c r="B19" s="45">
        <f>IF(AND($A19&lt;&gt;"",B$1&lt;&gt;"",18&lt;=IFERROR(VLOOKUP(B$1,الحصص!$A:$F,6,FALSE()),0)),"X","")</f>
        <v/>
      </c>
      <c r="C19" s="45">
        <f>IF(AND($A19&lt;&gt;"",C$1&lt;&gt;"",18&lt;=IFERROR(VLOOKUP(C$1,الحصص!$A:$F,6,FALSE()),0)),"X","")</f>
        <v/>
      </c>
      <c r="D19" s="45">
        <f>IF(AND($A19&lt;&gt;"",D$1&lt;&gt;"",18&lt;=IFERROR(VLOOKUP(D$1,الحصص!$A:$F,6,FALSE()),0)),"X","")</f>
        <v/>
      </c>
      <c r="E19" s="45">
        <f>IF(AND($A19&lt;&gt;"",E$1&lt;&gt;"",18&lt;=IFERROR(VLOOKUP(E$1,الحصص!$A:$F,6,FALSE()),0)),"X","")</f>
        <v/>
      </c>
      <c r="F19" s="45">
        <f>IF(AND($A19&lt;&gt;"",F$1&lt;&gt;"",18&lt;=IFERROR(VLOOKUP(F$1,الحصص!$A:$F,6,FALSE()),0)),"X","")</f>
        <v/>
      </c>
      <c r="G19" s="45">
        <f>IF(AND($A19&lt;&gt;"",G$1&lt;&gt;"",18&lt;=IFERROR(VLOOKUP(G$1,الحصص!$A:$F,6,FALSE()),0)),"X","")</f>
        <v/>
      </c>
      <c r="H19" s="45">
        <f>IF(AND($A19&lt;&gt;"",H$1&lt;&gt;"",18&lt;=IFERROR(VLOOKUP(H$1,الحصص!$A:$F,6,FALSE()),0)),"X","")</f>
        <v/>
      </c>
      <c r="I19" s="45">
        <f>IF(AND($A19&lt;&gt;"",I$1&lt;&gt;"",18&lt;=IFERROR(VLOOKUP(I$1,الحصص!$A:$F,6,FALSE()),0)),"X","")</f>
        <v/>
      </c>
      <c r="J19" s="45">
        <f>IF(AND($A19&lt;&gt;"",J$1&lt;&gt;"",18&lt;=IFERROR(VLOOKUP(J$1,الحصص!$A:$F,6,FALSE()),0)),"X","")</f>
        <v/>
      </c>
      <c r="K19" s="45">
        <f>IF(AND($A19&lt;&gt;"",K$1&lt;&gt;"",18&lt;=IFERROR(VLOOKUP(K$1,الحصص!$A:$F,6,FALSE()),0)),"X","")</f>
        <v/>
      </c>
      <c r="L19" s="45">
        <f>IF(AND($A19&lt;&gt;"",L$1&lt;&gt;"",18&lt;=IFERROR(VLOOKUP(L$1,الحصص!$A:$F,6,FALSE()),0)),"X","")</f>
        <v/>
      </c>
      <c r="M19" s="45">
        <f>IF(AND($A19&lt;&gt;"",M$1&lt;&gt;"",18&lt;=IFERROR(VLOOKUP(M$1,الحصص!$A:$F,6,FALSE()),0)),"X","")</f>
        <v/>
      </c>
      <c r="N19" s="45">
        <f>IF(AND($A19&lt;&gt;"",N$1&lt;&gt;"",18&lt;=IFERROR(VLOOKUP(N$1,الحصص!$A:$F,6,FALSE()),0)),"X","")</f>
        <v/>
      </c>
      <c r="O19" s="45">
        <f>IF(AND($A19&lt;&gt;"",O$1&lt;&gt;"",18&lt;=IFERROR(VLOOKUP(O$1,الحصص!$A:$F,6,FALSE()),0)),"X","")</f>
        <v/>
      </c>
      <c r="P19" s="45">
        <f>IF(AND($A19&lt;&gt;"",P$1&lt;&gt;"",18&lt;=IFERROR(VLOOKUP(P$1,الحصص!$A:$F,6,FALSE()),0)),"X","")</f>
        <v/>
      </c>
      <c r="Q19" s="45">
        <f>IF(AND($A19&lt;&gt;"",Q$1&lt;&gt;"",18&lt;=IFERROR(VLOOKUP(Q$1,الحصص!$A:$F,6,FALSE()),0)),"X","")</f>
        <v/>
      </c>
      <c r="R19" s="45">
        <f>IF(AND($A19&lt;&gt;"",R$1&lt;&gt;"",18&lt;=IFERROR(VLOOKUP(R$1,الحصص!$A:$F,6,FALSE()),0)),"X","")</f>
        <v/>
      </c>
      <c r="S19" s="45">
        <f>IF(AND($A19&lt;&gt;"",S$1&lt;&gt;"",18&lt;=IFERROR(VLOOKUP(S$1,الحصص!$A:$F,6,FALSE()),0)),"X","")</f>
        <v/>
      </c>
      <c r="T19" s="45">
        <f>IF(AND($A19&lt;&gt;"",T$1&lt;&gt;"",18&lt;=IFERROR(VLOOKUP(T$1,الحصص!$A:$F,6,FALSE()),0)),"X","")</f>
        <v/>
      </c>
      <c r="U19" s="45">
        <f>IF(AND($A19&lt;&gt;"",U$1&lt;&gt;"",18&lt;=IFERROR(VLOOKUP(U$1,الحصص!$A:$F,6,FALSE()),0)),"X","")</f>
        <v/>
      </c>
    </row>
    <row r="20" ht="19.5" customHeight="1" s="22">
      <c r="A20" s="43">
        <f>IF(19&lt;=الإعدادات!$C$3,"القاعة "&amp;TEXT(19,"0"),"")</f>
        <v/>
      </c>
      <c r="B20" s="44">
        <f>IF(AND($A20&lt;&gt;"",B$1&lt;&gt;"",19&lt;=IFERROR(VLOOKUP(B$1,الحصص!$A:$F,6,FALSE()),0)),"X","")</f>
        <v/>
      </c>
      <c r="C20" s="44">
        <f>IF(AND($A20&lt;&gt;"",C$1&lt;&gt;"",19&lt;=IFERROR(VLOOKUP(C$1,الحصص!$A:$F,6,FALSE()),0)),"X","")</f>
        <v/>
      </c>
      <c r="D20" s="44">
        <f>IF(AND($A20&lt;&gt;"",D$1&lt;&gt;"",19&lt;=IFERROR(VLOOKUP(D$1,الحصص!$A:$F,6,FALSE()),0)),"X","")</f>
        <v/>
      </c>
      <c r="E20" s="44">
        <f>IF(AND($A20&lt;&gt;"",E$1&lt;&gt;"",19&lt;=IFERROR(VLOOKUP(E$1,الحصص!$A:$F,6,FALSE()),0)),"X","")</f>
        <v/>
      </c>
      <c r="F20" s="44">
        <f>IF(AND($A20&lt;&gt;"",F$1&lt;&gt;"",19&lt;=IFERROR(VLOOKUP(F$1,الحصص!$A:$F,6,FALSE()),0)),"X","")</f>
        <v/>
      </c>
      <c r="G20" s="44">
        <f>IF(AND($A20&lt;&gt;"",G$1&lt;&gt;"",19&lt;=IFERROR(VLOOKUP(G$1,الحصص!$A:$F,6,FALSE()),0)),"X","")</f>
        <v/>
      </c>
      <c r="H20" s="44">
        <f>IF(AND($A20&lt;&gt;"",H$1&lt;&gt;"",19&lt;=IFERROR(VLOOKUP(H$1,الحصص!$A:$F,6,FALSE()),0)),"X","")</f>
        <v/>
      </c>
      <c r="I20" s="44">
        <f>IF(AND($A20&lt;&gt;"",I$1&lt;&gt;"",19&lt;=IFERROR(VLOOKUP(I$1,الحصص!$A:$F,6,FALSE()),0)),"X","")</f>
        <v/>
      </c>
      <c r="J20" s="44">
        <f>IF(AND($A20&lt;&gt;"",J$1&lt;&gt;"",19&lt;=IFERROR(VLOOKUP(J$1,الحصص!$A:$F,6,FALSE()),0)),"X","")</f>
        <v/>
      </c>
      <c r="K20" s="44">
        <f>IF(AND($A20&lt;&gt;"",K$1&lt;&gt;"",19&lt;=IFERROR(VLOOKUP(K$1,الحصص!$A:$F,6,FALSE()),0)),"X","")</f>
        <v/>
      </c>
      <c r="L20" s="44">
        <f>IF(AND($A20&lt;&gt;"",L$1&lt;&gt;"",19&lt;=IFERROR(VLOOKUP(L$1,الحصص!$A:$F,6,FALSE()),0)),"X","")</f>
        <v/>
      </c>
      <c r="M20" s="44">
        <f>IF(AND($A20&lt;&gt;"",M$1&lt;&gt;"",19&lt;=IFERROR(VLOOKUP(M$1,الحصص!$A:$F,6,FALSE()),0)),"X","")</f>
        <v/>
      </c>
      <c r="N20" s="44">
        <f>IF(AND($A20&lt;&gt;"",N$1&lt;&gt;"",19&lt;=IFERROR(VLOOKUP(N$1,الحصص!$A:$F,6,FALSE()),0)),"X","")</f>
        <v/>
      </c>
      <c r="O20" s="44">
        <f>IF(AND($A20&lt;&gt;"",O$1&lt;&gt;"",19&lt;=IFERROR(VLOOKUP(O$1,الحصص!$A:$F,6,FALSE()),0)),"X","")</f>
        <v/>
      </c>
      <c r="P20" s="44">
        <f>IF(AND($A20&lt;&gt;"",P$1&lt;&gt;"",19&lt;=IFERROR(VLOOKUP(P$1,الحصص!$A:$F,6,FALSE()),0)),"X","")</f>
        <v/>
      </c>
      <c r="Q20" s="44">
        <f>IF(AND($A20&lt;&gt;"",Q$1&lt;&gt;"",19&lt;=IFERROR(VLOOKUP(Q$1,الحصص!$A:$F,6,FALSE()),0)),"X","")</f>
        <v/>
      </c>
      <c r="R20" s="44">
        <f>IF(AND($A20&lt;&gt;"",R$1&lt;&gt;"",19&lt;=IFERROR(VLOOKUP(R$1,الحصص!$A:$F,6,FALSE()),0)),"X","")</f>
        <v/>
      </c>
      <c r="S20" s="44">
        <f>IF(AND($A20&lt;&gt;"",S$1&lt;&gt;"",19&lt;=IFERROR(VLOOKUP(S$1,الحصص!$A:$F,6,FALSE()),0)),"X","")</f>
        <v/>
      </c>
      <c r="T20" s="44">
        <f>IF(AND($A20&lt;&gt;"",T$1&lt;&gt;"",19&lt;=IFERROR(VLOOKUP(T$1,الحصص!$A:$F,6,FALSE()),0)),"X","")</f>
        <v/>
      </c>
      <c r="U20" s="44">
        <f>IF(AND($A20&lt;&gt;"",U$1&lt;&gt;"",19&lt;=IFERROR(VLOOKUP(U$1,الحصص!$A:$F,6,FALSE()),0)),"X","")</f>
        <v/>
      </c>
    </row>
    <row r="21" ht="19.5" customHeight="1" s="22">
      <c r="A21" s="43">
        <f>IF(20&lt;=الإعدادات!$C$3,"القاعة "&amp;TEXT(20,"0"),"")</f>
        <v/>
      </c>
      <c r="B21" s="45">
        <f>IF(AND($A21&lt;&gt;"",B$1&lt;&gt;"",20&lt;=IFERROR(VLOOKUP(B$1,الحصص!$A:$F,6,FALSE()),0)),"X","")</f>
        <v/>
      </c>
      <c r="C21" s="45">
        <f>IF(AND($A21&lt;&gt;"",C$1&lt;&gt;"",20&lt;=IFERROR(VLOOKUP(C$1,الحصص!$A:$F,6,FALSE()),0)),"X","")</f>
        <v/>
      </c>
      <c r="D21" s="45">
        <f>IF(AND($A21&lt;&gt;"",D$1&lt;&gt;"",20&lt;=IFERROR(VLOOKUP(D$1,الحصص!$A:$F,6,FALSE()),0)),"X","")</f>
        <v/>
      </c>
      <c r="E21" s="45">
        <f>IF(AND($A21&lt;&gt;"",E$1&lt;&gt;"",20&lt;=IFERROR(VLOOKUP(E$1,الحصص!$A:$F,6,FALSE()),0)),"X","")</f>
        <v/>
      </c>
      <c r="F21" s="45">
        <f>IF(AND($A21&lt;&gt;"",F$1&lt;&gt;"",20&lt;=IFERROR(VLOOKUP(F$1,الحصص!$A:$F,6,FALSE()),0)),"X","")</f>
        <v/>
      </c>
      <c r="G21" s="45">
        <f>IF(AND($A21&lt;&gt;"",G$1&lt;&gt;"",20&lt;=IFERROR(VLOOKUP(G$1,الحصص!$A:$F,6,FALSE()),0)),"X","")</f>
        <v/>
      </c>
      <c r="H21" s="45">
        <f>IF(AND($A21&lt;&gt;"",H$1&lt;&gt;"",20&lt;=IFERROR(VLOOKUP(H$1,الحصص!$A:$F,6,FALSE()),0)),"X","")</f>
        <v/>
      </c>
      <c r="I21" s="45">
        <f>IF(AND($A21&lt;&gt;"",I$1&lt;&gt;"",20&lt;=IFERROR(VLOOKUP(I$1,الحصص!$A:$F,6,FALSE()),0)),"X","")</f>
        <v/>
      </c>
      <c r="J21" s="45">
        <f>IF(AND($A21&lt;&gt;"",J$1&lt;&gt;"",20&lt;=IFERROR(VLOOKUP(J$1,الحصص!$A:$F,6,FALSE()),0)),"X","")</f>
        <v/>
      </c>
      <c r="K21" s="45">
        <f>IF(AND($A21&lt;&gt;"",K$1&lt;&gt;"",20&lt;=IFERROR(VLOOKUP(K$1,الحصص!$A:$F,6,FALSE()),0)),"X","")</f>
        <v/>
      </c>
      <c r="L21" s="45">
        <f>IF(AND($A21&lt;&gt;"",L$1&lt;&gt;"",20&lt;=IFERROR(VLOOKUP(L$1,الحصص!$A:$F,6,FALSE()),0)),"X","")</f>
        <v/>
      </c>
      <c r="M21" s="45">
        <f>IF(AND($A21&lt;&gt;"",M$1&lt;&gt;"",20&lt;=IFERROR(VLOOKUP(M$1,الحصص!$A:$F,6,FALSE()),0)),"X","")</f>
        <v/>
      </c>
      <c r="N21" s="45">
        <f>IF(AND($A21&lt;&gt;"",N$1&lt;&gt;"",20&lt;=IFERROR(VLOOKUP(N$1,الحصص!$A:$F,6,FALSE()),0)),"X","")</f>
        <v/>
      </c>
      <c r="O21" s="45">
        <f>IF(AND($A21&lt;&gt;"",O$1&lt;&gt;"",20&lt;=IFERROR(VLOOKUP(O$1,الحصص!$A:$F,6,FALSE()),0)),"X","")</f>
        <v/>
      </c>
      <c r="P21" s="45">
        <f>IF(AND($A21&lt;&gt;"",P$1&lt;&gt;"",20&lt;=IFERROR(VLOOKUP(P$1,الحصص!$A:$F,6,FALSE()),0)),"X","")</f>
        <v/>
      </c>
      <c r="Q21" s="45">
        <f>IF(AND($A21&lt;&gt;"",Q$1&lt;&gt;"",20&lt;=IFERROR(VLOOKUP(Q$1,الحصص!$A:$F,6,FALSE()),0)),"X","")</f>
        <v/>
      </c>
      <c r="R21" s="45">
        <f>IF(AND($A21&lt;&gt;"",R$1&lt;&gt;"",20&lt;=IFERROR(VLOOKUP(R$1,الحصص!$A:$F,6,FALSE()),0)),"X","")</f>
        <v/>
      </c>
      <c r="S21" s="45">
        <f>IF(AND($A21&lt;&gt;"",S$1&lt;&gt;"",20&lt;=IFERROR(VLOOKUP(S$1,الحصص!$A:$F,6,FALSE()),0)),"X","")</f>
        <v/>
      </c>
      <c r="T21" s="45">
        <f>IF(AND($A21&lt;&gt;"",T$1&lt;&gt;"",20&lt;=IFERROR(VLOOKUP(T$1,الحصص!$A:$F,6,FALSE()),0)),"X","")</f>
        <v/>
      </c>
      <c r="U21" s="45">
        <f>IF(AND($A21&lt;&gt;"",U$1&lt;&gt;"",20&lt;=IFERROR(VLOOKUP(U$1,الحصص!$A:$F,6,FALSE()),0)),"X","")</f>
        <v/>
      </c>
    </row>
    <row r="22" ht="19.5" customHeight="1" s="22">
      <c r="A22" s="43">
        <f>IF(21&lt;=الإعدادات!$C$3,"القاعة "&amp;TEXT(21,"0"),"")</f>
        <v/>
      </c>
      <c r="B22" s="44">
        <f>IF(AND($A22&lt;&gt;"",B$1&lt;&gt;"",21&lt;=IFERROR(VLOOKUP(B$1,الحصص!$A:$F,6,FALSE()),0)),"X","")</f>
        <v/>
      </c>
      <c r="C22" s="44">
        <f>IF(AND($A22&lt;&gt;"",C$1&lt;&gt;"",21&lt;=IFERROR(VLOOKUP(C$1,الحصص!$A:$F,6,FALSE()),0)),"X","")</f>
        <v/>
      </c>
      <c r="D22" s="44">
        <f>IF(AND($A22&lt;&gt;"",D$1&lt;&gt;"",21&lt;=IFERROR(VLOOKUP(D$1,الحصص!$A:$F,6,FALSE()),0)),"X","")</f>
        <v/>
      </c>
      <c r="E22" s="44">
        <f>IF(AND($A22&lt;&gt;"",E$1&lt;&gt;"",21&lt;=IFERROR(VLOOKUP(E$1,الحصص!$A:$F,6,FALSE()),0)),"X","")</f>
        <v/>
      </c>
      <c r="F22" s="44">
        <f>IF(AND($A22&lt;&gt;"",F$1&lt;&gt;"",21&lt;=IFERROR(VLOOKUP(F$1,الحصص!$A:$F,6,FALSE()),0)),"X","")</f>
        <v/>
      </c>
      <c r="G22" s="44">
        <f>IF(AND($A22&lt;&gt;"",G$1&lt;&gt;"",21&lt;=IFERROR(VLOOKUP(G$1,الحصص!$A:$F,6,FALSE()),0)),"X","")</f>
        <v/>
      </c>
      <c r="H22" s="44">
        <f>IF(AND($A22&lt;&gt;"",H$1&lt;&gt;"",21&lt;=IFERROR(VLOOKUP(H$1,الحصص!$A:$F,6,FALSE()),0)),"X","")</f>
        <v/>
      </c>
      <c r="I22" s="44">
        <f>IF(AND($A22&lt;&gt;"",I$1&lt;&gt;"",21&lt;=IFERROR(VLOOKUP(I$1,الحصص!$A:$F,6,FALSE()),0)),"X","")</f>
        <v/>
      </c>
      <c r="J22" s="44">
        <f>IF(AND($A22&lt;&gt;"",J$1&lt;&gt;"",21&lt;=IFERROR(VLOOKUP(J$1,الحصص!$A:$F,6,FALSE()),0)),"X","")</f>
        <v/>
      </c>
      <c r="K22" s="44">
        <f>IF(AND($A22&lt;&gt;"",K$1&lt;&gt;"",21&lt;=IFERROR(VLOOKUP(K$1,الحصص!$A:$F,6,FALSE()),0)),"X","")</f>
        <v/>
      </c>
      <c r="L22" s="44">
        <f>IF(AND($A22&lt;&gt;"",L$1&lt;&gt;"",21&lt;=IFERROR(VLOOKUP(L$1,الحصص!$A:$F,6,FALSE()),0)),"X","")</f>
        <v/>
      </c>
      <c r="M22" s="44">
        <f>IF(AND($A22&lt;&gt;"",M$1&lt;&gt;"",21&lt;=IFERROR(VLOOKUP(M$1,الحصص!$A:$F,6,FALSE()),0)),"X","")</f>
        <v/>
      </c>
      <c r="N22" s="44">
        <f>IF(AND($A22&lt;&gt;"",N$1&lt;&gt;"",21&lt;=IFERROR(VLOOKUP(N$1,الحصص!$A:$F,6,FALSE()),0)),"X","")</f>
        <v/>
      </c>
      <c r="O22" s="44">
        <f>IF(AND($A22&lt;&gt;"",O$1&lt;&gt;"",21&lt;=IFERROR(VLOOKUP(O$1,الحصص!$A:$F,6,FALSE()),0)),"X","")</f>
        <v/>
      </c>
      <c r="P22" s="44">
        <f>IF(AND($A22&lt;&gt;"",P$1&lt;&gt;"",21&lt;=IFERROR(VLOOKUP(P$1,الحصص!$A:$F,6,FALSE()),0)),"X","")</f>
        <v/>
      </c>
      <c r="Q22" s="44">
        <f>IF(AND($A22&lt;&gt;"",Q$1&lt;&gt;"",21&lt;=IFERROR(VLOOKUP(Q$1,الحصص!$A:$F,6,FALSE()),0)),"X","")</f>
        <v/>
      </c>
      <c r="R22" s="44">
        <f>IF(AND($A22&lt;&gt;"",R$1&lt;&gt;"",21&lt;=IFERROR(VLOOKUP(R$1,الحصص!$A:$F,6,FALSE()),0)),"X","")</f>
        <v/>
      </c>
      <c r="S22" s="44">
        <f>IF(AND($A22&lt;&gt;"",S$1&lt;&gt;"",21&lt;=IFERROR(VLOOKUP(S$1,الحصص!$A:$F,6,FALSE()),0)),"X","")</f>
        <v/>
      </c>
      <c r="T22" s="44">
        <f>IF(AND($A22&lt;&gt;"",T$1&lt;&gt;"",21&lt;=IFERROR(VLOOKUP(T$1,الحصص!$A:$F,6,FALSE()),0)),"X","")</f>
        <v/>
      </c>
      <c r="U22" s="44">
        <f>IF(AND($A22&lt;&gt;"",U$1&lt;&gt;"",21&lt;=IFERROR(VLOOKUP(U$1,الحصص!$A:$F,6,FALSE()),0)),"X","")</f>
        <v/>
      </c>
    </row>
    <row r="23" ht="19.5" customHeight="1" s="22">
      <c r="A23" s="43">
        <f>IF(22&lt;=الإعدادات!$C$3,"القاعة "&amp;TEXT(22,"0"),"")</f>
        <v/>
      </c>
      <c r="B23" s="45">
        <f>IF(AND($A23&lt;&gt;"",B$1&lt;&gt;"",22&lt;=IFERROR(VLOOKUP(B$1,الحصص!$A:$F,6,FALSE()),0)),"X","")</f>
        <v/>
      </c>
      <c r="C23" s="45">
        <f>IF(AND($A23&lt;&gt;"",C$1&lt;&gt;"",22&lt;=IFERROR(VLOOKUP(C$1,الحصص!$A:$F,6,FALSE()),0)),"X","")</f>
        <v/>
      </c>
      <c r="D23" s="45">
        <f>IF(AND($A23&lt;&gt;"",D$1&lt;&gt;"",22&lt;=IFERROR(VLOOKUP(D$1,الحصص!$A:$F,6,FALSE()),0)),"X","")</f>
        <v/>
      </c>
      <c r="E23" s="45">
        <f>IF(AND($A23&lt;&gt;"",E$1&lt;&gt;"",22&lt;=IFERROR(VLOOKUP(E$1,الحصص!$A:$F,6,FALSE()),0)),"X","")</f>
        <v/>
      </c>
      <c r="F23" s="45">
        <f>IF(AND($A23&lt;&gt;"",F$1&lt;&gt;"",22&lt;=IFERROR(VLOOKUP(F$1,الحصص!$A:$F,6,FALSE()),0)),"X","")</f>
        <v/>
      </c>
      <c r="G23" s="45">
        <f>IF(AND($A23&lt;&gt;"",G$1&lt;&gt;"",22&lt;=IFERROR(VLOOKUP(G$1,الحصص!$A:$F,6,FALSE()),0)),"X","")</f>
        <v/>
      </c>
      <c r="H23" s="45">
        <f>IF(AND($A23&lt;&gt;"",H$1&lt;&gt;"",22&lt;=IFERROR(VLOOKUP(H$1,الحصص!$A:$F,6,FALSE()),0)),"X","")</f>
        <v/>
      </c>
      <c r="I23" s="45">
        <f>IF(AND($A23&lt;&gt;"",I$1&lt;&gt;"",22&lt;=IFERROR(VLOOKUP(I$1,الحصص!$A:$F,6,FALSE()),0)),"X","")</f>
        <v/>
      </c>
      <c r="J23" s="45">
        <f>IF(AND($A23&lt;&gt;"",J$1&lt;&gt;"",22&lt;=IFERROR(VLOOKUP(J$1,الحصص!$A:$F,6,FALSE()),0)),"X","")</f>
        <v/>
      </c>
      <c r="K23" s="45">
        <f>IF(AND($A23&lt;&gt;"",K$1&lt;&gt;"",22&lt;=IFERROR(VLOOKUP(K$1,الحصص!$A:$F,6,FALSE()),0)),"X","")</f>
        <v/>
      </c>
      <c r="L23" s="45">
        <f>IF(AND($A23&lt;&gt;"",L$1&lt;&gt;"",22&lt;=IFERROR(VLOOKUP(L$1,الحصص!$A:$F,6,FALSE()),0)),"X","")</f>
        <v/>
      </c>
      <c r="M23" s="45">
        <f>IF(AND($A23&lt;&gt;"",M$1&lt;&gt;"",22&lt;=IFERROR(VLOOKUP(M$1,الحصص!$A:$F,6,FALSE()),0)),"X","")</f>
        <v/>
      </c>
      <c r="N23" s="45">
        <f>IF(AND($A23&lt;&gt;"",N$1&lt;&gt;"",22&lt;=IFERROR(VLOOKUP(N$1,الحصص!$A:$F,6,FALSE()),0)),"X","")</f>
        <v/>
      </c>
      <c r="O23" s="45">
        <f>IF(AND($A23&lt;&gt;"",O$1&lt;&gt;"",22&lt;=IFERROR(VLOOKUP(O$1,الحصص!$A:$F,6,FALSE()),0)),"X","")</f>
        <v/>
      </c>
      <c r="P23" s="45">
        <f>IF(AND($A23&lt;&gt;"",P$1&lt;&gt;"",22&lt;=IFERROR(VLOOKUP(P$1,الحصص!$A:$F,6,FALSE()),0)),"X","")</f>
        <v/>
      </c>
      <c r="Q23" s="45">
        <f>IF(AND($A23&lt;&gt;"",Q$1&lt;&gt;"",22&lt;=IFERROR(VLOOKUP(Q$1,الحصص!$A:$F,6,FALSE()),0)),"X","")</f>
        <v/>
      </c>
      <c r="R23" s="45">
        <f>IF(AND($A23&lt;&gt;"",R$1&lt;&gt;"",22&lt;=IFERROR(VLOOKUP(R$1,الحصص!$A:$F,6,FALSE()),0)),"X","")</f>
        <v/>
      </c>
      <c r="S23" s="45">
        <f>IF(AND($A23&lt;&gt;"",S$1&lt;&gt;"",22&lt;=IFERROR(VLOOKUP(S$1,الحصص!$A:$F,6,FALSE()),0)),"X","")</f>
        <v/>
      </c>
      <c r="T23" s="45">
        <f>IF(AND($A23&lt;&gt;"",T$1&lt;&gt;"",22&lt;=IFERROR(VLOOKUP(T$1,الحصص!$A:$F,6,FALSE()),0)),"X","")</f>
        <v/>
      </c>
      <c r="U23" s="45">
        <f>IF(AND($A23&lt;&gt;"",U$1&lt;&gt;"",22&lt;=IFERROR(VLOOKUP(U$1,الحصص!$A:$F,6,FALSE()),0)),"X","")</f>
        <v/>
      </c>
    </row>
    <row r="24" ht="19.5" customHeight="1" s="22">
      <c r="A24" s="43">
        <f>IF(23&lt;=الإعدادات!$C$3,"القاعة "&amp;TEXT(23,"0"),"")</f>
        <v/>
      </c>
      <c r="B24" s="44">
        <f>IF(AND($A24&lt;&gt;"",B$1&lt;&gt;"",23&lt;=IFERROR(VLOOKUP(B$1,الحصص!$A:$F,6,FALSE()),0)),"X","")</f>
        <v/>
      </c>
      <c r="C24" s="44">
        <f>IF(AND($A24&lt;&gt;"",C$1&lt;&gt;"",23&lt;=IFERROR(VLOOKUP(C$1,الحصص!$A:$F,6,FALSE()),0)),"X","")</f>
        <v/>
      </c>
      <c r="D24" s="44">
        <f>IF(AND($A24&lt;&gt;"",D$1&lt;&gt;"",23&lt;=IFERROR(VLOOKUP(D$1,الحصص!$A:$F,6,FALSE()),0)),"X","")</f>
        <v/>
      </c>
      <c r="E24" s="44">
        <f>IF(AND($A24&lt;&gt;"",E$1&lt;&gt;"",23&lt;=IFERROR(VLOOKUP(E$1,الحصص!$A:$F,6,FALSE()),0)),"X","")</f>
        <v/>
      </c>
      <c r="F24" s="44">
        <f>IF(AND($A24&lt;&gt;"",F$1&lt;&gt;"",23&lt;=IFERROR(VLOOKUP(F$1,الحصص!$A:$F,6,FALSE()),0)),"X","")</f>
        <v/>
      </c>
      <c r="G24" s="44">
        <f>IF(AND($A24&lt;&gt;"",G$1&lt;&gt;"",23&lt;=IFERROR(VLOOKUP(G$1,الحصص!$A:$F,6,FALSE()),0)),"X","")</f>
        <v/>
      </c>
      <c r="H24" s="44">
        <f>IF(AND($A24&lt;&gt;"",H$1&lt;&gt;"",23&lt;=IFERROR(VLOOKUP(H$1,الحصص!$A:$F,6,FALSE()),0)),"X","")</f>
        <v/>
      </c>
      <c r="I24" s="44">
        <f>IF(AND($A24&lt;&gt;"",I$1&lt;&gt;"",23&lt;=IFERROR(VLOOKUP(I$1,الحصص!$A:$F,6,FALSE()),0)),"X","")</f>
        <v/>
      </c>
      <c r="J24" s="44">
        <f>IF(AND($A24&lt;&gt;"",J$1&lt;&gt;"",23&lt;=IFERROR(VLOOKUP(J$1,الحصص!$A:$F,6,FALSE()),0)),"X","")</f>
        <v/>
      </c>
      <c r="K24" s="44">
        <f>IF(AND($A24&lt;&gt;"",K$1&lt;&gt;"",23&lt;=IFERROR(VLOOKUP(K$1,الحصص!$A:$F,6,FALSE()),0)),"X","")</f>
        <v/>
      </c>
      <c r="L24" s="44">
        <f>IF(AND($A24&lt;&gt;"",L$1&lt;&gt;"",23&lt;=IFERROR(VLOOKUP(L$1,الحصص!$A:$F,6,FALSE()),0)),"X","")</f>
        <v/>
      </c>
      <c r="M24" s="44">
        <f>IF(AND($A24&lt;&gt;"",M$1&lt;&gt;"",23&lt;=IFERROR(VLOOKUP(M$1,الحصص!$A:$F,6,FALSE()),0)),"X","")</f>
        <v/>
      </c>
      <c r="N24" s="44">
        <f>IF(AND($A24&lt;&gt;"",N$1&lt;&gt;"",23&lt;=IFERROR(VLOOKUP(N$1,الحصص!$A:$F,6,FALSE()),0)),"X","")</f>
        <v/>
      </c>
      <c r="O24" s="44">
        <f>IF(AND($A24&lt;&gt;"",O$1&lt;&gt;"",23&lt;=IFERROR(VLOOKUP(O$1,الحصص!$A:$F,6,FALSE()),0)),"X","")</f>
        <v/>
      </c>
      <c r="P24" s="44">
        <f>IF(AND($A24&lt;&gt;"",P$1&lt;&gt;"",23&lt;=IFERROR(VLOOKUP(P$1,الحصص!$A:$F,6,FALSE()),0)),"X","")</f>
        <v/>
      </c>
      <c r="Q24" s="44">
        <f>IF(AND($A24&lt;&gt;"",Q$1&lt;&gt;"",23&lt;=IFERROR(VLOOKUP(Q$1,الحصص!$A:$F,6,FALSE()),0)),"X","")</f>
        <v/>
      </c>
      <c r="R24" s="44">
        <f>IF(AND($A24&lt;&gt;"",R$1&lt;&gt;"",23&lt;=IFERROR(VLOOKUP(R$1,الحصص!$A:$F,6,FALSE()),0)),"X","")</f>
        <v/>
      </c>
      <c r="S24" s="44">
        <f>IF(AND($A24&lt;&gt;"",S$1&lt;&gt;"",23&lt;=IFERROR(VLOOKUP(S$1,الحصص!$A:$F,6,FALSE()),0)),"X","")</f>
        <v/>
      </c>
      <c r="T24" s="44">
        <f>IF(AND($A24&lt;&gt;"",T$1&lt;&gt;"",23&lt;=IFERROR(VLOOKUP(T$1,الحصص!$A:$F,6,FALSE()),0)),"X","")</f>
        <v/>
      </c>
      <c r="U24" s="44">
        <f>IF(AND($A24&lt;&gt;"",U$1&lt;&gt;"",23&lt;=IFERROR(VLOOKUP(U$1,الحصص!$A:$F,6,FALSE()),0)),"X","")</f>
        <v/>
      </c>
    </row>
    <row r="25" ht="19.5" customHeight="1" s="22">
      <c r="A25" s="43">
        <f>IF(24&lt;=الإعدادات!$C$3,"القاعة "&amp;TEXT(24,"0"),"")</f>
        <v/>
      </c>
      <c r="B25" s="45">
        <f>IF(AND($A25&lt;&gt;"",B$1&lt;&gt;"",24&lt;=IFERROR(VLOOKUP(B$1,الحصص!$A:$F,6,FALSE()),0)),"X","")</f>
        <v/>
      </c>
      <c r="C25" s="45">
        <f>IF(AND($A25&lt;&gt;"",C$1&lt;&gt;"",24&lt;=IFERROR(VLOOKUP(C$1,الحصص!$A:$F,6,FALSE()),0)),"X","")</f>
        <v/>
      </c>
      <c r="D25" s="45">
        <f>IF(AND($A25&lt;&gt;"",D$1&lt;&gt;"",24&lt;=IFERROR(VLOOKUP(D$1,الحصص!$A:$F,6,FALSE()),0)),"X","")</f>
        <v/>
      </c>
      <c r="E25" s="45">
        <f>IF(AND($A25&lt;&gt;"",E$1&lt;&gt;"",24&lt;=IFERROR(VLOOKUP(E$1,الحصص!$A:$F,6,FALSE()),0)),"X","")</f>
        <v/>
      </c>
      <c r="F25" s="45">
        <f>IF(AND($A25&lt;&gt;"",F$1&lt;&gt;"",24&lt;=IFERROR(VLOOKUP(F$1,الحصص!$A:$F,6,FALSE()),0)),"X","")</f>
        <v/>
      </c>
      <c r="G25" s="45">
        <f>IF(AND($A25&lt;&gt;"",G$1&lt;&gt;"",24&lt;=IFERROR(VLOOKUP(G$1,الحصص!$A:$F,6,FALSE()),0)),"X","")</f>
        <v/>
      </c>
      <c r="H25" s="45">
        <f>IF(AND($A25&lt;&gt;"",H$1&lt;&gt;"",24&lt;=IFERROR(VLOOKUP(H$1,الحصص!$A:$F,6,FALSE()),0)),"X","")</f>
        <v/>
      </c>
      <c r="I25" s="45">
        <f>IF(AND($A25&lt;&gt;"",I$1&lt;&gt;"",24&lt;=IFERROR(VLOOKUP(I$1,الحصص!$A:$F,6,FALSE()),0)),"X","")</f>
        <v/>
      </c>
      <c r="J25" s="45">
        <f>IF(AND($A25&lt;&gt;"",J$1&lt;&gt;"",24&lt;=IFERROR(VLOOKUP(J$1,الحصص!$A:$F,6,FALSE()),0)),"X","")</f>
        <v/>
      </c>
      <c r="K25" s="45">
        <f>IF(AND($A25&lt;&gt;"",K$1&lt;&gt;"",24&lt;=IFERROR(VLOOKUP(K$1,الحصص!$A:$F,6,FALSE()),0)),"X","")</f>
        <v/>
      </c>
      <c r="L25" s="45">
        <f>IF(AND($A25&lt;&gt;"",L$1&lt;&gt;"",24&lt;=IFERROR(VLOOKUP(L$1,الحصص!$A:$F,6,FALSE()),0)),"X","")</f>
        <v/>
      </c>
      <c r="M25" s="45">
        <f>IF(AND($A25&lt;&gt;"",M$1&lt;&gt;"",24&lt;=IFERROR(VLOOKUP(M$1,الحصص!$A:$F,6,FALSE()),0)),"X","")</f>
        <v/>
      </c>
      <c r="N25" s="45">
        <f>IF(AND($A25&lt;&gt;"",N$1&lt;&gt;"",24&lt;=IFERROR(VLOOKUP(N$1,الحصص!$A:$F,6,FALSE()),0)),"X","")</f>
        <v/>
      </c>
      <c r="O25" s="45">
        <f>IF(AND($A25&lt;&gt;"",O$1&lt;&gt;"",24&lt;=IFERROR(VLOOKUP(O$1,الحصص!$A:$F,6,FALSE()),0)),"X","")</f>
        <v/>
      </c>
      <c r="P25" s="45">
        <f>IF(AND($A25&lt;&gt;"",P$1&lt;&gt;"",24&lt;=IFERROR(VLOOKUP(P$1,الحصص!$A:$F,6,FALSE()),0)),"X","")</f>
        <v/>
      </c>
      <c r="Q25" s="45">
        <f>IF(AND($A25&lt;&gt;"",Q$1&lt;&gt;"",24&lt;=IFERROR(VLOOKUP(Q$1,الحصص!$A:$F,6,FALSE()),0)),"X","")</f>
        <v/>
      </c>
      <c r="R25" s="45">
        <f>IF(AND($A25&lt;&gt;"",R$1&lt;&gt;"",24&lt;=IFERROR(VLOOKUP(R$1,الحصص!$A:$F,6,FALSE()),0)),"X","")</f>
        <v/>
      </c>
      <c r="S25" s="45">
        <f>IF(AND($A25&lt;&gt;"",S$1&lt;&gt;"",24&lt;=IFERROR(VLOOKUP(S$1,الحصص!$A:$F,6,FALSE()),0)),"X","")</f>
        <v/>
      </c>
      <c r="T25" s="45">
        <f>IF(AND($A25&lt;&gt;"",T$1&lt;&gt;"",24&lt;=IFERROR(VLOOKUP(T$1,الحصص!$A:$F,6,FALSE()),0)),"X","")</f>
        <v/>
      </c>
      <c r="U25" s="45">
        <f>IF(AND($A25&lt;&gt;"",U$1&lt;&gt;"",24&lt;=IFERROR(VLOOKUP(U$1,الحصص!$A:$F,6,FALSE()),0)),"X","")</f>
        <v/>
      </c>
    </row>
    <row r="26" ht="19.5" customHeight="1" s="22">
      <c r="A26" s="43">
        <f>IF(25&lt;=الإعدادات!$C$3,"القاعة "&amp;TEXT(25,"0"),"")</f>
        <v/>
      </c>
      <c r="B26" s="44">
        <f>IF(AND($A26&lt;&gt;"",B$1&lt;&gt;"",25&lt;=IFERROR(VLOOKUP(B$1,الحصص!$A:$F,6,FALSE()),0)),"X","")</f>
        <v/>
      </c>
      <c r="C26" s="44">
        <f>IF(AND($A26&lt;&gt;"",C$1&lt;&gt;"",25&lt;=IFERROR(VLOOKUP(C$1,الحصص!$A:$F,6,FALSE()),0)),"X","")</f>
        <v/>
      </c>
      <c r="D26" s="44">
        <f>IF(AND($A26&lt;&gt;"",D$1&lt;&gt;"",25&lt;=IFERROR(VLOOKUP(D$1,الحصص!$A:$F,6,FALSE()),0)),"X","")</f>
        <v/>
      </c>
      <c r="E26" s="44">
        <f>IF(AND($A26&lt;&gt;"",E$1&lt;&gt;"",25&lt;=IFERROR(VLOOKUP(E$1,الحصص!$A:$F,6,FALSE()),0)),"X","")</f>
        <v/>
      </c>
      <c r="F26" s="44">
        <f>IF(AND($A26&lt;&gt;"",F$1&lt;&gt;"",25&lt;=IFERROR(VLOOKUP(F$1,الحصص!$A:$F,6,FALSE()),0)),"X","")</f>
        <v/>
      </c>
      <c r="G26" s="44">
        <f>IF(AND($A26&lt;&gt;"",G$1&lt;&gt;"",25&lt;=IFERROR(VLOOKUP(G$1,الحصص!$A:$F,6,FALSE()),0)),"X","")</f>
        <v/>
      </c>
      <c r="H26" s="44">
        <f>IF(AND($A26&lt;&gt;"",H$1&lt;&gt;"",25&lt;=IFERROR(VLOOKUP(H$1,الحصص!$A:$F,6,FALSE()),0)),"X","")</f>
        <v/>
      </c>
      <c r="I26" s="44">
        <f>IF(AND($A26&lt;&gt;"",I$1&lt;&gt;"",25&lt;=IFERROR(VLOOKUP(I$1,الحصص!$A:$F,6,FALSE()),0)),"X","")</f>
        <v/>
      </c>
      <c r="J26" s="44">
        <f>IF(AND($A26&lt;&gt;"",J$1&lt;&gt;"",25&lt;=IFERROR(VLOOKUP(J$1,الحصص!$A:$F,6,FALSE()),0)),"X","")</f>
        <v/>
      </c>
      <c r="K26" s="44">
        <f>IF(AND($A26&lt;&gt;"",K$1&lt;&gt;"",25&lt;=IFERROR(VLOOKUP(K$1,الحصص!$A:$F,6,FALSE()),0)),"X","")</f>
        <v/>
      </c>
      <c r="L26" s="44">
        <f>IF(AND($A26&lt;&gt;"",L$1&lt;&gt;"",25&lt;=IFERROR(VLOOKUP(L$1,الحصص!$A:$F,6,FALSE()),0)),"X","")</f>
        <v/>
      </c>
      <c r="M26" s="44">
        <f>IF(AND($A26&lt;&gt;"",M$1&lt;&gt;"",25&lt;=IFERROR(VLOOKUP(M$1,الحصص!$A:$F,6,FALSE()),0)),"X","")</f>
        <v/>
      </c>
      <c r="N26" s="44">
        <f>IF(AND($A26&lt;&gt;"",N$1&lt;&gt;"",25&lt;=IFERROR(VLOOKUP(N$1,الحصص!$A:$F,6,FALSE()),0)),"X","")</f>
        <v/>
      </c>
      <c r="O26" s="44">
        <f>IF(AND($A26&lt;&gt;"",O$1&lt;&gt;"",25&lt;=IFERROR(VLOOKUP(O$1,الحصص!$A:$F,6,FALSE()),0)),"X","")</f>
        <v/>
      </c>
      <c r="P26" s="44">
        <f>IF(AND($A26&lt;&gt;"",P$1&lt;&gt;"",25&lt;=IFERROR(VLOOKUP(P$1,الحصص!$A:$F,6,FALSE()),0)),"X","")</f>
        <v/>
      </c>
      <c r="Q26" s="44">
        <f>IF(AND($A26&lt;&gt;"",Q$1&lt;&gt;"",25&lt;=IFERROR(VLOOKUP(Q$1,الحصص!$A:$F,6,FALSE()),0)),"X","")</f>
        <v/>
      </c>
      <c r="R26" s="44">
        <f>IF(AND($A26&lt;&gt;"",R$1&lt;&gt;"",25&lt;=IFERROR(VLOOKUP(R$1,الحصص!$A:$F,6,FALSE()),0)),"X","")</f>
        <v/>
      </c>
      <c r="S26" s="44">
        <f>IF(AND($A26&lt;&gt;"",S$1&lt;&gt;"",25&lt;=IFERROR(VLOOKUP(S$1,الحصص!$A:$F,6,FALSE()),0)),"X","")</f>
        <v/>
      </c>
      <c r="T26" s="44">
        <f>IF(AND($A26&lt;&gt;"",T$1&lt;&gt;"",25&lt;=IFERROR(VLOOKUP(T$1,الحصص!$A:$F,6,FALSE()),0)),"X","")</f>
        <v/>
      </c>
      <c r="U26" s="44">
        <f>IF(AND($A26&lt;&gt;"",U$1&lt;&gt;"",25&lt;=IFERROR(VLOOKUP(U$1,الحصص!$A:$F,6,FALSE()),0)),"X","")</f>
        <v/>
      </c>
    </row>
    <row r="27" ht="19.5" customHeight="1" s="22">
      <c r="A27" s="43">
        <f>IF(26&lt;=الإعدادات!$C$3,"القاعة "&amp;TEXT(26,"0"),"")</f>
        <v/>
      </c>
      <c r="B27" s="45">
        <f>IF(AND($A27&lt;&gt;"",B$1&lt;&gt;"",26&lt;=IFERROR(VLOOKUP(B$1,الحصص!$A:$F,6,FALSE()),0)),"X","")</f>
        <v/>
      </c>
      <c r="C27" s="45">
        <f>IF(AND($A27&lt;&gt;"",C$1&lt;&gt;"",26&lt;=IFERROR(VLOOKUP(C$1,الحصص!$A:$F,6,FALSE()),0)),"X","")</f>
        <v/>
      </c>
      <c r="D27" s="45">
        <f>IF(AND($A27&lt;&gt;"",D$1&lt;&gt;"",26&lt;=IFERROR(VLOOKUP(D$1,الحصص!$A:$F,6,FALSE()),0)),"X","")</f>
        <v/>
      </c>
      <c r="E27" s="45">
        <f>IF(AND($A27&lt;&gt;"",E$1&lt;&gt;"",26&lt;=IFERROR(VLOOKUP(E$1,الحصص!$A:$F,6,FALSE()),0)),"X","")</f>
        <v/>
      </c>
      <c r="F27" s="45">
        <f>IF(AND($A27&lt;&gt;"",F$1&lt;&gt;"",26&lt;=IFERROR(VLOOKUP(F$1,الحصص!$A:$F,6,FALSE()),0)),"X","")</f>
        <v/>
      </c>
      <c r="G27" s="45">
        <f>IF(AND($A27&lt;&gt;"",G$1&lt;&gt;"",26&lt;=IFERROR(VLOOKUP(G$1,الحصص!$A:$F,6,FALSE()),0)),"X","")</f>
        <v/>
      </c>
      <c r="H27" s="45">
        <f>IF(AND($A27&lt;&gt;"",H$1&lt;&gt;"",26&lt;=IFERROR(VLOOKUP(H$1,الحصص!$A:$F,6,FALSE()),0)),"X","")</f>
        <v/>
      </c>
      <c r="I27" s="45">
        <f>IF(AND($A27&lt;&gt;"",I$1&lt;&gt;"",26&lt;=IFERROR(VLOOKUP(I$1,الحصص!$A:$F,6,FALSE()),0)),"X","")</f>
        <v/>
      </c>
      <c r="J27" s="45">
        <f>IF(AND($A27&lt;&gt;"",J$1&lt;&gt;"",26&lt;=IFERROR(VLOOKUP(J$1,الحصص!$A:$F,6,FALSE()),0)),"X","")</f>
        <v/>
      </c>
      <c r="K27" s="45">
        <f>IF(AND($A27&lt;&gt;"",K$1&lt;&gt;"",26&lt;=IFERROR(VLOOKUP(K$1,الحصص!$A:$F,6,FALSE()),0)),"X","")</f>
        <v/>
      </c>
      <c r="L27" s="45">
        <f>IF(AND($A27&lt;&gt;"",L$1&lt;&gt;"",26&lt;=IFERROR(VLOOKUP(L$1,الحصص!$A:$F,6,FALSE()),0)),"X","")</f>
        <v/>
      </c>
      <c r="M27" s="45">
        <f>IF(AND($A27&lt;&gt;"",M$1&lt;&gt;"",26&lt;=IFERROR(VLOOKUP(M$1,الحصص!$A:$F,6,FALSE()),0)),"X","")</f>
        <v/>
      </c>
      <c r="N27" s="45">
        <f>IF(AND($A27&lt;&gt;"",N$1&lt;&gt;"",26&lt;=IFERROR(VLOOKUP(N$1,الحصص!$A:$F,6,FALSE()),0)),"X","")</f>
        <v/>
      </c>
      <c r="O27" s="45">
        <f>IF(AND($A27&lt;&gt;"",O$1&lt;&gt;"",26&lt;=IFERROR(VLOOKUP(O$1,الحصص!$A:$F,6,FALSE()),0)),"X","")</f>
        <v/>
      </c>
      <c r="P27" s="45">
        <f>IF(AND($A27&lt;&gt;"",P$1&lt;&gt;"",26&lt;=IFERROR(VLOOKUP(P$1,الحصص!$A:$F,6,FALSE()),0)),"X","")</f>
        <v/>
      </c>
      <c r="Q27" s="45">
        <f>IF(AND($A27&lt;&gt;"",Q$1&lt;&gt;"",26&lt;=IFERROR(VLOOKUP(Q$1,الحصص!$A:$F,6,FALSE()),0)),"X","")</f>
        <v/>
      </c>
      <c r="R27" s="45">
        <f>IF(AND($A27&lt;&gt;"",R$1&lt;&gt;"",26&lt;=IFERROR(VLOOKUP(R$1,الحصص!$A:$F,6,FALSE()),0)),"X","")</f>
        <v/>
      </c>
      <c r="S27" s="45">
        <f>IF(AND($A27&lt;&gt;"",S$1&lt;&gt;"",26&lt;=IFERROR(VLOOKUP(S$1,الحصص!$A:$F,6,FALSE()),0)),"X","")</f>
        <v/>
      </c>
      <c r="T27" s="45">
        <f>IF(AND($A27&lt;&gt;"",T$1&lt;&gt;"",26&lt;=IFERROR(VLOOKUP(T$1,الحصص!$A:$F,6,FALSE()),0)),"X","")</f>
        <v/>
      </c>
      <c r="U27" s="45">
        <f>IF(AND($A27&lt;&gt;"",U$1&lt;&gt;"",26&lt;=IFERROR(VLOOKUP(U$1,الحصص!$A:$F,6,FALSE()),0)),"X","")</f>
        <v/>
      </c>
    </row>
    <row r="28" ht="19.5" customHeight="1" s="22">
      <c r="A28" s="43">
        <f>IF(27&lt;=الإعدادات!$C$3,"القاعة "&amp;TEXT(27,"0"),"")</f>
        <v/>
      </c>
      <c r="B28" s="44">
        <f>IF(AND($A28&lt;&gt;"",B$1&lt;&gt;"",27&lt;=IFERROR(VLOOKUP(B$1,الحصص!$A:$F,6,FALSE()),0)),"X","")</f>
        <v/>
      </c>
      <c r="C28" s="44">
        <f>IF(AND($A28&lt;&gt;"",C$1&lt;&gt;"",27&lt;=IFERROR(VLOOKUP(C$1,الحصص!$A:$F,6,FALSE()),0)),"X","")</f>
        <v/>
      </c>
      <c r="D28" s="44">
        <f>IF(AND($A28&lt;&gt;"",D$1&lt;&gt;"",27&lt;=IFERROR(VLOOKUP(D$1,الحصص!$A:$F,6,FALSE()),0)),"X","")</f>
        <v/>
      </c>
      <c r="E28" s="44">
        <f>IF(AND($A28&lt;&gt;"",E$1&lt;&gt;"",27&lt;=IFERROR(VLOOKUP(E$1,الحصص!$A:$F,6,FALSE()),0)),"X","")</f>
        <v/>
      </c>
      <c r="F28" s="44">
        <f>IF(AND($A28&lt;&gt;"",F$1&lt;&gt;"",27&lt;=IFERROR(VLOOKUP(F$1,الحصص!$A:$F,6,FALSE()),0)),"X","")</f>
        <v/>
      </c>
      <c r="G28" s="44">
        <f>IF(AND($A28&lt;&gt;"",G$1&lt;&gt;"",27&lt;=IFERROR(VLOOKUP(G$1,الحصص!$A:$F,6,FALSE()),0)),"X","")</f>
        <v/>
      </c>
      <c r="H28" s="44">
        <f>IF(AND($A28&lt;&gt;"",H$1&lt;&gt;"",27&lt;=IFERROR(VLOOKUP(H$1,الحصص!$A:$F,6,FALSE()),0)),"X","")</f>
        <v/>
      </c>
      <c r="I28" s="44">
        <f>IF(AND($A28&lt;&gt;"",I$1&lt;&gt;"",27&lt;=IFERROR(VLOOKUP(I$1,الحصص!$A:$F,6,FALSE()),0)),"X","")</f>
        <v/>
      </c>
      <c r="J28" s="44">
        <f>IF(AND($A28&lt;&gt;"",J$1&lt;&gt;"",27&lt;=IFERROR(VLOOKUP(J$1,الحصص!$A:$F,6,FALSE()),0)),"X","")</f>
        <v/>
      </c>
      <c r="K28" s="44">
        <f>IF(AND($A28&lt;&gt;"",K$1&lt;&gt;"",27&lt;=IFERROR(VLOOKUP(K$1,الحصص!$A:$F,6,FALSE()),0)),"X","")</f>
        <v/>
      </c>
      <c r="L28" s="44">
        <f>IF(AND($A28&lt;&gt;"",L$1&lt;&gt;"",27&lt;=IFERROR(VLOOKUP(L$1,الحصص!$A:$F,6,FALSE()),0)),"X","")</f>
        <v/>
      </c>
      <c r="M28" s="44">
        <f>IF(AND($A28&lt;&gt;"",M$1&lt;&gt;"",27&lt;=IFERROR(VLOOKUP(M$1,الحصص!$A:$F,6,FALSE()),0)),"X","")</f>
        <v/>
      </c>
      <c r="N28" s="44">
        <f>IF(AND($A28&lt;&gt;"",N$1&lt;&gt;"",27&lt;=IFERROR(VLOOKUP(N$1,الحصص!$A:$F,6,FALSE()),0)),"X","")</f>
        <v/>
      </c>
      <c r="O28" s="44">
        <f>IF(AND($A28&lt;&gt;"",O$1&lt;&gt;"",27&lt;=IFERROR(VLOOKUP(O$1,الحصص!$A:$F,6,FALSE()),0)),"X","")</f>
        <v/>
      </c>
      <c r="P28" s="44">
        <f>IF(AND($A28&lt;&gt;"",P$1&lt;&gt;"",27&lt;=IFERROR(VLOOKUP(P$1,الحصص!$A:$F,6,FALSE()),0)),"X","")</f>
        <v/>
      </c>
      <c r="Q28" s="44">
        <f>IF(AND($A28&lt;&gt;"",Q$1&lt;&gt;"",27&lt;=IFERROR(VLOOKUP(Q$1,الحصص!$A:$F,6,FALSE()),0)),"X","")</f>
        <v/>
      </c>
      <c r="R28" s="44">
        <f>IF(AND($A28&lt;&gt;"",R$1&lt;&gt;"",27&lt;=IFERROR(VLOOKUP(R$1,الحصص!$A:$F,6,FALSE()),0)),"X","")</f>
        <v/>
      </c>
      <c r="S28" s="44">
        <f>IF(AND($A28&lt;&gt;"",S$1&lt;&gt;"",27&lt;=IFERROR(VLOOKUP(S$1,الحصص!$A:$F,6,FALSE()),0)),"X","")</f>
        <v/>
      </c>
      <c r="T28" s="44">
        <f>IF(AND($A28&lt;&gt;"",T$1&lt;&gt;"",27&lt;=IFERROR(VLOOKUP(T$1,الحصص!$A:$F,6,FALSE()),0)),"X","")</f>
        <v/>
      </c>
      <c r="U28" s="44">
        <f>IF(AND($A28&lt;&gt;"",U$1&lt;&gt;"",27&lt;=IFERROR(VLOOKUP(U$1,الحصص!$A:$F,6,FALSE()),0)),"X","")</f>
        <v/>
      </c>
    </row>
    <row r="29" ht="19.5" customHeight="1" s="22">
      <c r="A29" s="43">
        <f>IF(28&lt;=الإعدادات!$C$3,"القاعة "&amp;TEXT(28,"0"),"")</f>
        <v/>
      </c>
      <c r="B29" s="45">
        <f>IF(AND($A29&lt;&gt;"",B$1&lt;&gt;"",28&lt;=IFERROR(VLOOKUP(B$1,الحصص!$A:$F,6,FALSE()),0)),"X","")</f>
        <v/>
      </c>
      <c r="C29" s="45">
        <f>IF(AND($A29&lt;&gt;"",C$1&lt;&gt;"",28&lt;=IFERROR(VLOOKUP(C$1,الحصص!$A:$F,6,FALSE()),0)),"X","")</f>
        <v/>
      </c>
      <c r="D29" s="45">
        <f>IF(AND($A29&lt;&gt;"",D$1&lt;&gt;"",28&lt;=IFERROR(VLOOKUP(D$1,الحصص!$A:$F,6,FALSE()),0)),"X","")</f>
        <v/>
      </c>
      <c r="E29" s="45">
        <f>IF(AND($A29&lt;&gt;"",E$1&lt;&gt;"",28&lt;=IFERROR(VLOOKUP(E$1,الحصص!$A:$F,6,FALSE()),0)),"X","")</f>
        <v/>
      </c>
      <c r="F29" s="45">
        <f>IF(AND($A29&lt;&gt;"",F$1&lt;&gt;"",28&lt;=IFERROR(VLOOKUP(F$1,الحصص!$A:$F,6,FALSE()),0)),"X","")</f>
        <v/>
      </c>
      <c r="G29" s="45">
        <f>IF(AND($A29&lt;&gt;"",G$1&lt;&gt;"",28&lt;=IFERROR(VLOOKUP(G$1,الحصص!$A:$F,6,FALSE()),0)),"X","")</f>
        <v/>
      </c>
      <c r="H29" s="45">
        <f>IF(AND($A29&lt;&gt;"",H$1&lt;&gt;"",28&lt;=IFERROR(VLOOKUP(H$1,الحصص!$A:$F,6,FALSE()),0)),"X","")</f>
        <v/>
      </c>
      <c r="I29" s="45">
        <f>IF(AND($A29&lt;&gt;"",I$1&lt;&gt;"",28&lt;=IFERROR(VLOOKUP(I$1,الحصص!$A:$F,6,FALSE()),0)),"X","")</f>
        <v/>
      </c>
      <c r="J29" s="45">
        <f>IF(AND($A29&lt;&gt;"",J$1&lt;&gt;"",28&lt;=IFERROR(VLOOKUP(J$1,الحصص!$A:$F,6,FALSE()),0)),"X","")</f>
        <v/>
      </c>
      <c r="K29" s="45">
        <f>IF(AND($A29&lt;&gt;"",K$1&lt;&gt;"",28&lt;=IFERROR(VLOOKUP(K$1,الحصص!$A:$F,6,FALSE()),0)),"X","")</f>
        <v/>
      </c>
      <c r="L29" s="45">
        <f>IF(AND($A29&lt;&gt;"",L$1&lt;&gt;"",28&lt;=IFERROR(VLOOKUP(L$1,الحصص!$A:$F,6,FALSE()),0)),"X","")</f>
        <v/>
      </c>
      <c r="M29" s="45">
        <f>IF(AND($A29&lt;&gt;"",M$1&lt;&gt;"",28&lt;=IFERROR(VLOOKUP(M$1,الحصص!$A:$F,6,FALSE()),0)),"X","")</f>
        <v/>
      </c>
      <c r="N29" s="45">
        <f>IF(AND($A29&lt;&gt;"",N$1&lt;&gt;"",28&lt;=IFERROR(VLOOKUP(N$1,الحصص!$A:$F,6,FALSE()),0)),"X","")</f>
        <v/>
      </c>
      <c r="O29" s="45">
        <f>IF(AND($A29&lt;&gt;"",O$1&lt;&gt;"",28&lt;=IFERROR(VLOOKUP(O$1,الحصص!$A:$F,6,FALSE()),0)),"X","")</f>
        <v/>
      </c>
      <c r="P29" s="45">
        <f>IF(AND($A29&lt;&gt;"",P$1&lt;&gt;"",28&lt;=IFERROR(VLOOKUP(P$1,الحصص!$A:$F,6,FALSE()),0)),"X","")</f>
        <v/>
      </c>
      <c r="Q29" s="45">
        <f>IF(AND($A29&lt;&gt;"",Q$1&lt;&gt;"",28&lt;=IFERROR(VLOOKUP(Q$1,الحصص!$A:$F,6,FALSE()),0)),"X","")</f>
        <v/>
      </c>
      <c r="R29" s="45">
        <f>IF(AND($A29&lt;&gt;"",R$1&lt;&gt;"",28&lt;=IFERROR(VLOOKUP(R$1,الحصص!$A:$F,6,FALSE()),0)),"X","")</f>
        <v/>
      </c>
      <c r="S29" s="45">
        <f>IF(AND($A29&lt;&gt;"",S$1&lt;&gt;"",28&lt;=IFERROR(VLOOKUP(S$1,الحصص!$A:$F,6,FALSE()),0)),"X","")</f>
        <v/>
      </c>
      <c r="T29" s="45">
        <f>IF(AND($A29&lt;&gt;"",T$1&lt;&gt;"",28&lt;=IFERROR(VLOOKUP(T$1,الحصص!$A:$F,6,FALSE()),0)),"X","")</f>
        <v/>
      </c>
      <c r="U29" s="45">
        <f>IF(AND($A29&lt;&gt;"",U$1&lt;&gt;"",28&lt;=IFERROR(VLOOKUP(U$1,الحصص!$A:$F,6,FALSE()),0)),"X","")</f>
        <v/>
      </c>
    </row>
    <row r="30" ht="19.5" customHeight="1" s="22">
      <c r="A30" s="43">
        <f>IF(29&lt;=الإعدادات!$C$3,"القاعة "&amp;TEXT(29,"0"),"")</f>
        <v/>
      </c>
      <c r="B30" s="44">
        <f>IF(AND($A30&lt;&gt;"",B$1&lt;&gt;"",29&lt;=IFERROR(VLOOKUP(B$1,الحصص!$A:$F,6,FALSE()),0)),"X","")</f>
        <v/>
      </c>
      <c r="C30" s="44">
        <f>IF(AND($A30&lt;&gt;"",C$1&lt;&gt;"",29&lt;=IFERROR(VLOOKUP(C$1,الحصص!$A:$F,6,FALSE()),0)),"X","")</f>
        <v/>
      </c>
      <c r="D30" s="44">
        <f>IF(AND($A30&lt;&gt;"",D$1&lt;&gt;"",29&lt;=IFERROR(VLOOKUP(D$1,الحصص!$A:$F,6,FALSE()),0)),"X","")</f>
        <v/>
      </c>
      <c r="E30" s="44">
        <f>IF(AND($A30&lt;&gt;"",E$1&lt;&gt;"",29&lt;=IFERROR(VLOOKUP(E$1,الحصص!$A:$F,6,FALSE()),0)),"X","")</f>
        <v/>
      </c>
      <c r="F30" s="44">
        <f>IF(AND($A30&lt;&gt;"",F$1&lt;&gt;"",29&lt;=IFERROR(VLOOKUP(F$1,الحصص!$A:$F,6,FALSE()),0)),"X","")</f>
        <v/>
      </c>
      <c r="G30" s="44">
        <f>IF(AND($A30&lt;&gt;"",G$1&lt;&gt;"",29&lt;=IFERROR(VLOOKUP(G$1,الحصص!$A:$F,6,FALSE()),0)),"X","")</f>
        <v/>
      </c>
      <c r="H30" s="44">
        <f>IF(AND($A30&lt;&gt;"",H$1&lt;&gt;"",29&lt;=IFERROR(VLOOKUP(H$1,الحصص!$A:$F,6,FALSE()),0)),"X","")</f>
        <v/>
      </c>
      <c r="I30" s="44">
        <f>IF(AND($A30&lt;&gt;"",I$1&lt;&gt;"",29&lt;=IFERROR(VLOOKUP(I$1,الحصص!$A:$F,6,FALSE()),0)),"X","")</f>
        <v/>
      </c>
      <c r="J30" s="44">
        <f>IF(AND($A30&lt;&gt;"",J$1&lt;&gt;"",29&lt;=IFERROR(VLOOKUP(J$1,الحصص!$A:$F,6,FALSE()),0)),"X","")</f>
        <v/>
      </c>
      <c r="K30" s="44">
        <f>IF(AND($A30&lt;&gt;"",K$1&lt;&gt;"",29&lt;=IFERROR(VLOOKUP(K$1,الحصص!$A:$F,6,FALSE()),0)),"X","")</f>
        <v/>
      </c>
      <c r="L30" s="44">
        <f>IF(AND($A30&lt;&gt;"",L$1&lt;&gt;"",29&lt;=IFERROR(VLOOKUP(L$1,الحصص!$A:$F,6,FALSE()),0)),"X","")</f>
        <v/>
      </c>
      <c r="M30" s="44">
        <f>IF(AND($A30&lt;&gt;"",M$1&lt;&gt;"",29&lt;=IFERROR(VLOOKUP(M$1,الحصص!$A:$F,6,FALSE()),0)),"X","")</f>
        <v/>
      </c>
      <c r="N30" s="44">
        <f>IF(AND($A30&lt;&gt;"",N$1&lt;&gt;"",29&lt;=IFERROR(VLOOKUP(N$1,الحصص!$A:$F,6,FALSE()),0)),"X","")</f>
        <v/>
      </c>
      <c r="O30" s="44">
        <f>IF(AND($A30&lt;&gt;"",O$1&lt;&gt;"",29&lt;=IFERROR(VLOOKUP(O$1,الحصص!$A:$F,6,FALSE()),0)),"X","")</f>
        <v/>
      </c>
      <c r="P30" s="44">
        <f>IF(AND($A30&lt;&gt;"",P$1&lt;&gt;"",29&lt;=IFERROR(VLOOKUP(P$1,الحصص!$A:$F,6,FALSE()),0)),"X","")</f>
        <v/>
      </c>
      <c r="Q30" s="44">
        <f>IF(AND($A30&lt;&gt;"",Q$1&lt;&gt;"",29&lt;=IFERROR(VLOOKUP(Q$1,الحصص!$A:$F,6,FALSE()),0)),"X","")</f>
        <v/>
      </c>
      <c r="R30" s="44">
        <f>IF(AND($A30&lt;&gt;"",R$1&lt;&gt;"",29&lt;=IFERROR(VLOOKUP(R$1,الحصص!$A:$F,6,FALSE()),0)),"X","")</f>
        <v/>
      </c>
      <c r="S30" s="44">
        <f>IF(AND($A30&lt;&gt;"",S$1&lt;&gt;"",29&lt;=IFERROR(VLOOKUP(S$1,الحصص!$A:$F,6,FALSE()),0)),"X","")</f>
        <v/>
      </c>
      <c r="T30" s="44">
        <f>IF(AND($A30&lt;&gt;"",T$1&lt;&gt;"",29&lt;=IFERROR(VLOOKUP(T$1,الحصص!$A:$F,6,FALSE()),0)),"X","")</f>
        <v/>
      </c>
      <c r="U30" s="44">
        <f>IF(AND($A30&lt;&gt;"",U$1&lt;&gt;"",29&lt;=IFERROR(VLOOKUP(U$1,الحصص!$A:$F,6,FALSE()),0)),"X","")</f>
        <v/>
      </c>
    </row>
    <row r="31" ht="19.5" customHeight="1" s="22">
      <c r="A31" s="43">
        <f>IF(30&lt;=الإعدادات!$C$3,"القاعة "&amp;TEXT(30,"0"),"")</f>
        <v/>
      </c>
      <c r="B31" s="45">
        <f>IF(AND($A31&lt;&gt;"",B$1&lt;&gt;"",30&lt;=IFERROR(VLOOKUP(B$1,الحصص!$A:$F,6,FALSE()),0)),"X","")</f>
        <v/>
      </c>
      <c r="C31" s="45">
        <f>IF(AND($A31&lt;&gt;"",C$1&lt;&gt;"",30&lt;=IFERROR(VLOOKUP(C$1,الحصص!$A:$F,6,FALSE()),0)),"X","")</f>
        <v/>
      </c>
      <c r="D31" s="45">
        <f>IF(AND($A31&lt;&gt;"",D$1&lt;&gt;"",30&lt;=IFERROR(VLOOKUP(D$1,الحصص!$A:$F,6,FALSE()),0)),"X","")</f>
        <v/>
      </c>
      <c r="E31" s="45">
        <f>IF(AND($A31&lt;&gt;"",E$1&lt;&gt;"",30&lt;=IFERROR(VLOOKUP(E$1,الحصص!$A:$F,6,FALSE()),0)),"X","")</f>
        <v/>
      </c>
      <c r="F31" s="45">
        <f>IF(AND($A31&lt;&gt;"",F$1&lt;&gt;"",30&lt;=IFERROR(VLOOKUP(F$1,الحصص!$A:$F,6,FALSE()),0)),"X","")</f>
        <v/>
      </c>
      <c r="G31" s="45">
        <f>IF(AND($A31&lt;&gt;"",G$1&lt;&gt;"",30&lt;=IFERROR(VLOOKUP(G$1,الحصص!$A:$F,6,FALSE()),0)),"X","")</f>
        <v/>
      </c>
      <c r="H31" s="45">
        <f>IF(AND($A31&lt;&gt;"",H$1&lt;&gt;"",30&lt;=IFERROR(VLOOKUP(H$1,الحصص!$A:$F,6,FALSE()),0)),"X","")</f>
        <v/>
      </c>
      <c r="I31" s="45">
        <f>IF(AND($A31&lt;&gt;"",I$1&lt;&gt;"",30&lt;=IFERROR(VLOOKUP(I$1,الحصص!$A:$F,6,FALSE()),0)),"X","")</f>
        <v/>
      </c>
      <c r="J31" s="45">
        <f>IF(AND($A31&lt;&gt;"",J$1&lt;&gt;"",30&lt;=IFERROR(VLOOKUP(J$1,الحصص!$A:$F,6,FALSE()),0)),"X","")</f>
        <v/>
      </c>
      <c r="K31" s="45">
        <f>IF(AND($A31&lt;&gt;"",K$1&lt;&gt;"",30&lt;=IFERROR(VLOOKUP(K$1,الحصص!$A:$F,6,FALSE()),0)),"X","")</f>
        <v/>
      </c>
      <c r="L31" s="45">
        <f>IF(AND($A31&lt;&gt;"",L$1&lt;&gt;"",30&lt;=IFERROR(VLOOKUP(L$1,الحصص!$A:$F,6,FALSE()),0)),"X","")</f>
        <v/>
      </c>
      <c r="M31" s="45">
        <f>IF(AND($A31&lt;&gt;"",M$1&lt;&gt;"",30&lt;=IFERROR(VLOOKUP(M$1,الحصص!$A:$F,6,FALSE()),0)),"X","")</f>
        <v/>
      </c>
      <c r="N31" s="45">
        <f>IF(AND($A31&lt;&gt;"",N$1&lt;&gt;"",30&lt;=IFERROR(VLOOKUP(N$1,الحصص!$A:$F,6,FALSE()),0)),"X","")</f>
        <v/>
      </c>
      <c r="O31" s="45">
        <f>IF(AND($A31&lt;&gt;"",O$1&lt;&gt;"",30&lt;=IFERROR(VLOOKUP(O$1,الحصص!$A:$F,6,FALSE()),0)),"X","")</f>
        <v/>
      </c>
      <c r="P31" s="45">
        <f>IF(AND($A31&lt;&gt;"",P$1&lt;&gt;"",30&lt;=IFERROR(VLOOKUP(P$1,الحصص!$A:$F,6,FALSE()),0)),"X","")</f>
        <v/>
      </c>
      <c r="Q31" s="45">
        <f>IF(AND($A31&lt;&gt;"",Q$1&lt;&gt;"",30&lt;=IFERROR(VLOOKUP(Q$1,الحصص!$A:$F,6,FALSE()),0)),"X","")</f>
        <v/>
      </c>
      <c r="R31" s="45">
        <f>IF(AND($A31&lt;&gt;"",R$1&lt;&gt;"",30&lt;=IFERROR(VLOOKUP(R$1,الحصص!$A:$F,6,FALSE()),0)),"X","")</f>
        <v/>
      </c>
      <c r="S31" s="45">
        <f>IF(AND($A31&lt;&gt;"",S$1&lt;&gt;"",30&lt;=IFERROR(VLOOKUP(S$1,الحصص!$A:$F,6,FALSE()),0)),"X","")</f>
        <v/>
      </c>
      <c r="T31" s="45">
        <f>IF(AND($A31&lt;&gt;"",T$1&lt;&gt;"",30&lt;=IFERROR(VLOOKUP(T$1,الحصص!$A:$F,6,FALSE()),0)),"X","")</f>
        <v/>
      </c>
      <c r="U31" s="45">
        <f>IF(AND($A31&lt;&gt;"",U$1&lt;&gt;"",30&lt;=IFERROR(VLOOKUP(U$1,الحصص!$A:$F,6,FALSE()),0)),"X","")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22" min="1" max="1"/>
    <col width="16" customWidth="1" style="22" min="2" max="2"/>
    <col width="26" customWidth="1" style="22" min="3" max="3"/>
    <col width="30" customWidth="1" style="22" min="4" max="4"/>
    <col width="4" customWidth="1" style="22" min="5" max="5"/>
  </cols>
  <sheetData>
    <row r="1" ht="32" customHeight="1" s="22">
      <c r="A1" s="46" t="inlineStr">
        <is>
          <t>🎓  تحديد المداومين — مداوم واحد لكل مادة لكل حصة</t>
        </is>
      </c>
    </row>
    <row r="2" ht="26" customHeight="1" s="22">
      <c r="A2" s="47" t="inlineStr">
        <is>
          <t>الحصة</t>
        </is>
      </c>
      <c r="B2" s="47" t="inlineStr">
        <is>
          <t>التاريخ</t>
        </is>
      </c>
      <c r="C2" s="47" t="inlineStr">
        <is>
          <t>المادة الممتحَنة</t>
        </is>
      </c>
      <c r="D2" s="47" t="inlineStr">
        <is>
          <t>المداوم المختار ▼</t>
        </is>
      </c>
    </row>
    <row r="3" ht="24" customHeight="1" s="22">
      <c r="A3" s="48" t="inlineStr">
        <is>
          <t>حصة 1</t>
        </is>
      </c>
      <c r="B3" s="49" t="inlineStr">
        <is>
          <t>15/06/2026</t>
        </is>
      </c>
      <c r="C3" s="50" t="inlineStr">
        <is>
          <t>الرياضيات</t>
        </is>
      </c>
      <c r="D3" s="51" t="inlineStr">
        <is>
          <t>محمد أمين</t>
        </is>
      </c>
    </row>
    <row r="4" ht="24" customHeight="1" s="22">
      <c r="A4" s="48" t="inlineStr">
        <is>
          <t>حصة 1</t>
        </is>
      </c>
      <c r="B4" s="49" t="inlineStr">
        <is>
          <t>15/06/2026</t>
        </is>
      </c>
      <c r="C4" s="50" t="inlineStr">
        <is>
          <t>الفيزياء والكيمياء</t>
        </is>
      </c>
      <c r="D4" s="51" t="inlineStr">
        <is>
          <t>رضا العلوي</t>
        </is>
      </c>
    </row>
    <row r="5" ht="24" customHeight="1" s="22">
      <c r="A5" s="48" t="inlineStr">
        <is>
          <t>حصة 2</t>
        </is>
      </c>
      <c r="B5" s="49" t="inlineStr">
        <is>
          <t>15/06/2026</t>
        </is>
      </c>
      <c r="C5" s="50" t="inlineStr">
        <is>
          <t>اللغة العربية</t>
        </is>
      </c>
      <c r="D5" s="51" t="inlineStr">
        <is>
          <t>سناء قادري</t>
        </is>
      </c>
    </row>
    <row r="6" ht="24" customHeight="1" s="22">
      <c r="A6" s="48" t="inlineStr">
        <is>
          <t>حصة 2</t>
        </is>
      </c>
      <c r="B6" s="49" t="inlineStr">
        <is>
          <t>15/06/2026</t>
        </is>
      </c>
      <c r="C6" s="50" t="inlineStr">
        <is>
          <t>اللغة الفرنسية</t>
        </is>
      </c>
      <c r="D6" s="51" t="inlineStr">
        <is>
          <t>رشيد أوزين</t>
        </is>
      </c>
    </row>
    <row r="7" ht="24" customHeight="1" s="22">
      <c r="A7" s="48" t="inlineStr">
        <is>
          <t>حصة 3</t>
        </is>
      </c>
      <c r="B7" s="49" t="inlineStr">
        <is>
          <t>16/06/2026</t>
        </is>
      </c>
      <c r="C7" s="50" t="inlineStr">
        <is>
          <t>التاريخ والجغرافيا</t>
        </is>
      </c>
      <c r="D7" s="51" t="inlineStr">
        <is>
          <t>جمال الطيب</t>
        </is>
      </c>
    </row>
    <row r="8" ht="24" customHeight="1" s="22">
      <c r="A8" s="48" t="inlineStr">
        <is>
          <t>حصة 3</t>
        </is>
      </c>
      <c r="B8" s="49" t="inlineStr">
        <is>
          <t>16/06/2026</t>
        </is>
      </c>
      <c r="C8" s="50" t="inlineStr">
        <is>
          <t>الاقتصاد</t>
        </is>
      </c>
      <c r="D8" s="51" t="inlineStr">
        <is>
          <t>عصام الشريف</t>
        </is>
      </c>
    </row>
    <row r="9" ht="24" customHeight="1" s="22">
      <c r="A9" s="48" t="inlineStr">
        <is>
          <t>حصة 4</t>
        </is>
      </c>
      <c r="B9" s="49" t="inlineStr">
        <is>
          <t>16/06/2026</t>
        </is>
      </c>
      <c r="C9" s="50" t="inlineStr">
        <is>
          <t>اللغة الإنجليزية</t>
        </is>
      </c>
      <c r="D9" s="51" t="inlineStr">
        <is>
          <t>إيمان تيزي</t>
        </is>
      </c>
    </row>
    <row r="10" ht="24" customHeight="1" s="22">
      <c r="A10" s="48" t="inlineStr">
        <is>
          <t>حصة 4</t>
        </is>
      </c>
      <c r="B10" s="49" t="inlineStr">
        <is>
          <t>16/06/2026</t>
        </is>
      </c>
      <c r="C10" s="50" t="inlineStr">
        <is>
          <t>الترجمة</t>
        </is>
      </c>
      <c r="D10" s="51" t="inlineStr">
        <is>
          <t>خالد السعيد</t>
        </is>
      </c>
    </row>
    <row r="12" ht="28" customHeight="1" s="22">
      <c r="A12" s="52" t="inlineStr">
        <is>
          <t>ℹ️  المداوم يُعدّ كمهمة عمل — يُحسب في توازن الحصص ولكنه لن يُعيَّن مراقباً أو احتياطياً في الحصة ذاتها</t>
        </is>
      </c>
    </row>
  </sheetData>
  <mergeCells count="2">
    <mergeCell ref="A1:D1"/>
    <mergeCell ref="A12:D12"/>
  </mergeCells>
  <dataValidations count="8">
    <dataValidation sqref="D3" showDropDown="0" showInputMessage="0" showErrorMessage="1" allowBlank="1" errorTitle="اختيار غير صحيح" error="الرجاء الاختيار من قائمة أساتذة هذه المادة" type="list">
      <formula1>"محمد أمين,فاطمة الزهراء,يوسف بنعلي,سلمى الإدريسي,كريم الناصري,نجوى الفارسي"</formula1>
    </dataValidation>
    <dataValidation sqref="D4" showDropDown="0" showInputMessage="0" showErrorMessage="1" allowBlank="1" errorTitle="اختيار غير صحيح" error="الرجاء الاختيار من قائمة أساتذة هذه المادة" type="list">
      <formula1>"رضا العلوي,حنان السلاوي,بشير الراشدي,دنيا الحسيني,لينا الحمداني,وليد الزياد"</formula1>
    </dataValidation>
    <dataValidation sqref="D5" showDropDown="0" showInputMessage="0" showErrorMessage="1" allowBlank="1" errorTitle="اختيار غير صحيح" error="الرجاء الاختيار من قائمة أساتذة هذه المادة" type="list">
      <formula1>"سناء قادري,طارق بوعزة,نعيمة الجابري,هشام العراقي,زينب الطاهر,أمين الشيخ"</formula1>
    </dataValidation>
    <dataValidation sqref="D6" showDropDown="0" showInputMessage="0" showErrorMessage="1" allowBlank="1" errorTitle="اختيار غير صحيح" error="الرجاء الاختيار من قائمة أساتذة هذه المادة" type="list">
      <formula1>"رشيد أوزين,هنا الموساوي,نجاة حجازي,يمينة لقربي,عبد الكريم نور,سيلين بريك"</formula1>
    </dataValidation>
    <dataValidation sqref="D7" showDropDown="0" showInputMessage="0" showErrorMessage="1" allowBlank="1" errorTitle="اختيار غير صحيح" error="الرجاء الاختيار من قائمة أساتذة هذه المادة" type="list">
      <formula1>"جمال الطيب,ليلى بنحدو,منى بنمسعود"</formula1>
    </dataValidation>
    <dataValidation sqref="D8" showDropDown="0" showInputMessage="0" showErrorMessage="1" allowBlank="1" errorTitle="اختيار غير صحيح" error="الرجاء الاختيار من قائمة أساتذة هذه المادة" type="list">
      <formula1>"عصام الشريف,بتول القادري,وسام قرشي"</formula1>
    </dataValidation>
    <dataValidation sqref="D9" showDropDown="0" showInputMessage="0" showErrorMessage="1" allowBlank="1" errorTitle="اختيار غير صحيح" error="الرجاء الاختيار من قائمة أساتذة هذه المادة" type="list">
      <formula1>"إيمان تيزي,أنس بوخارة,سارة الزياني,فؤاد بلحسن,رانيا الحموي"</formula1>
    </dataValidation>
    <dataValidation sqref="D10" showDropDown="0" showInputMessage="0" showErrorMessage="1" allowBlank="1" errorTitle="اختيار غير صحيح" error="الرجاء الاختيار من قائمة أساتذة هذه المادة" type="list">
      <formula1>"خالد السعيد,آية الله,ريم الأنصاري,سعاد بنسالم,مريم حداد"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8" customWidth="1" style="22" min="1" max="1"/>
    <col width="28" customWidth="1" style="22" min="2" max="2"/>
    <col width="28" customWidth="1" style="22" min="3" max="3"/>
    <col width="28" customWidth="1" style="22" min="4" max="4"/>
    <col width="28" customWidth="1" style="22" min="5" max="5"/>
    <col width="28" customWidth="1" style="22" min="6" max="6"/>
    <col width="28" customWidth="1" style="22" min="7" max="7"/>
    <col width="28" customWidth="1" style="22" min="8" max="8"/>
  </cols>
  <sheetData>
    <row r="1">
      <c r="A1" s="53" t="inlineStr">
        <is>
          <t>الاقتصاد</t>
        </is>
      </c>
      <c r="B1" s="53" t="inlineStr">
        <is>
          <t>التاريخ والجغرافيا</t>
        </is>
      </c>
      <c r="C1" s="53" t="inlineStr">
        <is>
          <t>الترجمة</t>
        </is>
      </c>
      <c r="D1" s="53" t="inlineStr">
        <is>
          <t>الرياضيات</t>
        </is>
      </c>
      <c r="E1" s="53" t="inlineStr">
        <is>
          <t>الفيزياء والكيمياء</t>
        </is>
      </c>
      <c r="F1" s="53" t="inlineStr">
        <is>
          <t>اللغة الإنجليزية</t>
        </is>
      </c>
      <c r="G1" s="53" t="inlineStr">
        <is>
          <t>اللغة العربية</t>
        </is>
      </c>
      <c r="H1" s="53" t="inlineStr">
        <is>
          <t>اللغة الفرنسية</t>
        </is>
      </c>
    </row>
    <row r="2">
      <c r="A2" t="inlineStr">
        <is>
          <t>عصام الشريف</t>
        </is>
      </c>
      <c r="B2" t="inlineStr">
        <is>
          <t>جمال الطيب</t>
        </is>
      </c>
      <c r="C2" t="inlineStr">
        <is>
          <t>خالد السعيد</t>
        </is>
      </c>
      <c r="D2" t="inlineStr">
        <is>
          <t>محمد أمين</t>
        </is>
      </c>
      <c r="E2" t="inlineStr">
        <is>
          <t>رضا العلوي</t>
        </is>
      </c>
      <c r="F2" t="inlineStr">
        <is>
          <t>إيمان تيزي</t>
        </is>
      </c>
      <c r="G2" t="inlineStr">
        <is>
          <t>سناء قادري</t>
        </is>
      </c>
      <c r="H2" t="inlineStr">
        <is>
          <t>رشيد أوزين</t>
        </is>
      </c>
    </row>
    <row r="3">
      <c r="A3" t="inlineStr">
        <is>
          <t>بتول القادري</t>
        </is>
      </c>
      <c r="B3" t="inlineStr">
        <is>
          <t>ليلى بنحدو</t>
        </is>
      </c>
      <c r="C3" t="inlineStr">
        <is>
          <t>آية الله</t>
        </is>
      </c>
      <c r="D3" t="inlineStr">
        <is>
          <t>فاطمة الزهراء</t>
        </is>
      </c>
      <c r="E3" t="inlineStr">
        <is>
          <t>حنان السلاوي</t>
        </is>
      </c>
      <c r="F3" t="inlineStr">
        <is>
          <t>أنس بوخارة</t>
        </is>
      </c>
      <c r="G3" t="inlineStr">
        <is>
          <t>طارق بوعزة</t>
        </is>
      </c>
      <c r="H3" t="inlineStr">
        <is>
          <t>هنا الموساوي</t>
        </is>
      </c>
    </row>
    <row r="4">
      <c r="A4" t="inlineStr">
        <is>
          <t>وسام قرشي</t>
        </is>
      </c>
      <c r="B4" t="inlineStr">
        <is>
          <t>منى بنمسعود</t>
        </is>
      </c>
      <c r="C4" t="inlineStr">
        <is>
          <t>ريم الأنصاري</t>
        </is>
      </c>
      <c r="D4" t="inlineStr">
        <is>
          <t>يوسف بنعلي</t>
        </is>
      </c>
      <c r="E4" t="inlineStr">
        <is>
          <t>بشير الراشدي</t>
        </is>
      </c>
      <c r="F4" t="inlineStr">
        <is>
          <t>سارة الزياني</t>
        </is>
      </c>
      <c r="G4" t="inlineStr">
        <is>
          <t>نعيمة الجابري</t>
        </is>
      </c>
      <c r="H4" t="inlineStr">
        <is>
          <t>نجاة حجازي</t>
        </is>
      </c>
    </row>
    <row r="5">
      <c r="C5" t="inlineStr">
        <is>
          <t>سعاد بنسالم</t>
        </is>
      </c>
      <c r="D5" t="inlineStr">
        <is>
          <t>سلمى الإدريسي</t>
        </is>
      </c>
      <c r="E5" t="inlineStr">
        <is>
          <t>دنيا الحسيني</t>
        </is>
      </c>
      <c r="F5" t="inlineStr">
        <is>
          <t>فؤاد بلحسن</t>
        </is>
      </c>
      <c r="G5" t="inlineStr">
        <is>
          <t>هشام العراقي</t>
        </is>
      </c>
      <c r="H5" t="inlineStr">
        <is>
          <t>يمينة لقربي</t>
        </is>
      </c>
    </row>
    <row r="6">
      <c r="C6" t="inlineStr">
        <is>
          <t>مريم حداد</t>
        </is>
      </c>
      <c r="D6" t="inlineStr">
        <is>
          <t>كريم الناصري</t>
        </is>
      </c>
      <c r="E6" t="inlineStr">
        <is>
          <t>لينا الحمداني</t>
        </is>
      </c>
      <c r="F6" t="inlineStr">
        <is>
          <t>رانيا الحموي</t>
        </is>
      </c>
      <c r="G6" t="inlineStr">
        <is>
          <t>زينب الطاهر</t>
        </is>
      </c>
      <c r="H6" t="inlineStr">
        <is>
          <t>عبد الكريم نور</t>
        </is>
      </c>
    </row>
    <row r="7">
      <c r="D7" t="inlineStr">
        <is>
          <t>نجوى الفارسي</t>
        </is>
      </c>
      <c r="E7" t="inlineStr">
        <is>
          <t>وليد الزياد</t>
        </is>
      </c>
      <c r="G7" t="inlineStr">
        <is>
          <t>أمين الشيخ</t>
        </is>
      </c>
      <c r="H7" t="inlineStr">
        <is>
          <t>سيلين بريك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2026-05-12T09:06:37Z</dcterms:created>
  <dcterms:modified xmlns:dcterms="http://purl.org/dc/terms/" xmlns:xsi="http://www.w3.org/2001/XMLSchema-instance" xsi:type="dcterms:W3CDTF">2026-05-14T09:25:29Z</dcterms:modified>
  <cp:revision>0</cp:revision>
</cp:coreProperties>
</file>